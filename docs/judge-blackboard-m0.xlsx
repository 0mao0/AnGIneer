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判分" sheetId="1" state="visible" r:id="rId1"/>
    <sheet xmlns:r="http://schemas.openxmlformats.org/officeDocument/2006/relationships" name="密钥（判完再看）" sheetId="2" state="visible" r:id="rId2"/>
    <sheet xmlns:r="http://schemas.openxmlformats.org/officeDocument/2006/relationships" name="判分规则" sheetId="3" state="visible" r:id="rId3"/>
  </sheets>
  <definedNames>
    <definedName name="_xlnm._FilterDatabase" localSheetId="0" hidden="1">'判分'!$A$1:$K$22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34" customWidth="1" min="3" max="3"/>
    <col width="38" customWidth="1" min="4" max="4"/>
    <col width="60" customWidth="1" min="5" max="5"/>
    <col width="60" customWidth="1" min="6" max="6"/>
    <col width="60" customWidth="1" min="7" max="7"/>
    <col width="10" customWidth="1" min="8" max="8"/>
    <col width="10" customWidth="1" min="9" max="9"/>
    <col width="10" customWidth="1" min="10" max="10"/>
    <col width="34" customWidth="1" min="11" max="11"/>
  </cols>
  <sheetData>
    <row r="1">
      <c r="A1" s="1" t="inlineStr">
        <is>
          <t>题号</t>
        </is>
      </c>
      <c r="B1" s="1" t="inlineStr">
        <is>
          <t>角色</t>
        </is>
      </c>
      <c r="C1" s="1" t="inlineStr">
        <is>
          <t>判分题（原文）</t>
        </is>
      </c>
      <c r="D1" s="1" t="inlineStr">
        <is>
          <t>判定要点</t>
        </is>
      </c>
      <c r="E1" s="1" t="inlineStr">
        <is>
          <t>答案 A</t>
        </is>
      </c>
      <c r="F1" s="1" t="inlineStr">
        <is>
          <t>答案 B</t>
        </is>
      </c>
      <c r="G1" s="1" t="inlineStr">
        <is>
          <t>答案 C</t>
        </is>
      </c>
      <c r="H1" s="1" t="inlineStr">
        <is>
          <t>A 判定</t>
        </is>
      </c>
      <c r="I1" s="1" t="inlineStr">
        <is>
          <t>B 判定</t>
        </is>
      </c>
      <c r="J1" s="1" t="inlineStr">
        <is>
          <t>C 判定</t>
        </is>
      </c>
      <c r="K1" s="1" t="inlineStr">
        <is>
          <t>备注（判定理由 / 期望但未答出的点）</t>
        </is>
      </c>
    </row>
    <row r="2">
      <c r="A2" s="2" t="inlineStr">
        <is>
          <t>A1</t>
        </is>
      </c>
      <c r="B2" s="2" t="inlineStr">
        <is>
          <t>能力题</t>
        </is>
      </c>
      <c r="C2" s="2" t="inlineStr">
        <is>
          <t>刚才第二条提到的规范，具体说了什么？</t>
        </is>
      </c>
      <c r="D2" s="2" t="inlineStr">
        <is>
          <t>正确指认「第二条」并按该轮答案复述规范要求；题面有歧义，可判作废</t>
        </is>
      </c>
      <c r="E2" s="2" t="inlineStr">
        <is>
          <t>没有检索到足够证据支持最终结论。证据中未直接列出“刚才第二条提到的规范”具体指代哪一部规范，因为之前的对话历史中并未明确指定“第二条”对应的具体规范名称或条款。以下相关信息供参考：
- 证据中提到了《JTJ 307-2001 船闸水工建筑物设计规范》中关于基本资料的规定，指出不同设计阶段对基本资料的内容和深度要求，并列出了应满足的“编制办法”和应符合的规范具体名称，如《内河航道与港口水文规范》(JTJ214)、《水运工程测量规范》(JTJ203)等 [K1]。
- 证据中提到了《JTJ 212-2006 河港工程总体设计规范》的“2.1 一般规定”章节标题 [K2]。
- 证据中提到了《码头结构设计规范 JTS 167-2018》中关于格形钢板桩码头地基处理的规定，指出在软弱土层上建造时，换填中粗砂是可靠的处理方法，应优先采用 [K3]。
- 证据中提到了《GB 50010-2010混凝土结构设计规范》中关于纵向受拉钢筋极限拉应变、附加偏心距、等效矩形压应力图形以及剪力墙设计等内容 [K4][K5]。
您是否想了解《码头结构设计规范》中关于重力式码头稳定性验算的具体要求？</t>
        </is>
      </c>
      <c r="F2" s="2" t="inlineStr">
        <is>
          <t>没有检索到足够证据支持最终结论。检索结果主要涉及船闸、河港、混凝土结构等规范的基本规定章节，未直接列出《海港总体设计规范》中关于“设计船型尺度”的具体条文内容。以下相关信息供参考：
- 《JTJ 307-2001 船闸水工建筑物设计规范》第 2.3 节“基本资料”中，列出了各设计阶段基本资料应满足的“编制办法”和应符合的规范的具体名称，包括《内河航道与港口水文规范》(JTJ214)、《水运工程测量规范》(JTJ203)等 [K1]。
- 《JTJ 212-2006 河港工程总体设计规范》包含“2.1 一般规定”章节 [K2]。
- 《码头结构设计规范 JTS 167-2018》第 8.2.12 条指出，在软弱土层上建造格形钢板桩码头时，对地基的处理必须特别慎重，实践表明，换填中粗砂是一种可靠的处理方法，故应优先采用 [K3]。
您是否想了解《海港总体设计规范》中关于设计船型尺度确定的其他具体原则？</t>
        </is>
      </c>
      <c r="G2" s="2" t="inlineStr">
        <is>
          <t>没有检索到足够证据支持最终结论。检索结果中未直接列出“刚才第二条”具体指代哪一条规范（因对话上下文缺失，无法确定“第二条”的具体指向），以下相关信息供参考：
- 检索证据中提到了《JTJ 307-2001 船闸水工建筑物设计规范》中关于基本资料的规定，指出不同设计阶段对基本资料的内容和深度要求，并列出了应满足的“编制办法”和应符合的规范具体名称，如《内河航道与港口水文规范》(JTJ214)、《水运工程测量规范》(JTJ203)等 [K1]。
- 检索证据中还提到了《JTJ 212-2006 河港工程总体设计规范》的“2.1 一般规定”章节标题 [K2]。
- 其他检索结果涉及《码头结构设计规范 JTS 167-2018》中关于格形钢板桩码头地基处理（如换填中粗砂）的规定 [K3]，以及《GB 50010-2010混凝土结构设计规范》中关于混凝土结构设计的相关条款 [K4][K5]。
您是否想了解上述某部具体规范中关于“基本规定”或“一般规定”章节的详细内容？</t>
        </is>
      </c>
      <c r="H2" s="2" t="inlineStr"/>
      <c r="I2" s="2" t="inlineStr"/>
      <c r="J2" s="2" t="inlineStr"/>
      <c r="K2" s="2" t="inlineStr"/>
    </row>
    <row r="3">
      <c r="A3" s="2" t="inlineStr">
        <is>
          <t>A2</t>
        </is>
      </c>
      <c r="B3" s="2" t="inlineStr">
        <is>
          <t>能力题</t>
        </is>
      </c>
      <c r="C3" s="2" t="inlineStr">
        <is>
          <t>刚才第2题说的安全系数，具体数值是多少？</t>
        </is>
      </c>
      <c r="D3" s="2" t="inlineStr">
        <is>
          <t>给出第 2 题安全系数的具体数值 + 出处；只答「需查表」= 部分对</t>
        </is>
      </c>
      <c r="E3" s="2" t="inlineStr">
        <is>
          <t>根据《水运工程结构可靠性设计统一标准》（JTS 167-2018）及《重力式码头设计与施工规范》（JTS 167-2-2009），重力式码头抗滑稳定安全系数 $K_c$ 的具体数值取决于**荷载组合类型**、**地基条件**（岩基或土基）以及**水工建筑物级别**。
具体数值如下：
### 1. 按《水运工程结构可靠性设计统一标准》（表3.3.2）取值
该表针对**抗滑稳定安全系数 $K'_c$**（基于荷载组合）的规定如下 [T2]：
- **基本组合 1**：$K'_c \geqslant 3.0$
- **基本组合 2**：$K'_c \geqslant 2.5$
- **特殊组合 1**：$K'_c \geqslant 2.5$
- **特殊组合 2**：$K'_c \geqslant 2.3$
### 2. 按《水运工程结构可靠性设计统一标准》（表3.3.1）取值
该表针对**抗滑稳定安全系数 $K_c$**（基于地基类型和建筑物级别）的规定如下 [T5]：
| 荷载组合 | 地基类型 | 1级建筑物 | 2、3级建筑物 | 4、5级建筑物 |
| :--- | :--- | :--- | :--- | :--- |
| **基本组合 1** | 岩基 | $\geqslant 1.1$ | $\geqslant 1.05$ | $\geqslant 1.05$ |
| | 土基 | $\geqslant 1.4$ | $\geqslant 1.3$ | $\geqslant 1.2$ |
| **基本组合 2** | 岩基 | $\geqslant 1.05$ | $\geqslant 1.0$ | $\geqslant 1.0$ |
| | 土基 | $\geqslant 1.3$ | $\geqslant 1.2$ | $\geqslant 1.1$ |
| **特殊组合 1** | 岩基 | $\geqslant 1.05$ | $\geqslant 1.0$ | $\geqslant 1.0$ |
| | 土基 | $\geqslant 1.3$ | $\geqslant 1.2$ | $\geqslant 1.1$ |
| **特殊组合 2** | 岩基 | $\geqslant 1.0$ | $\geqslant 1.0$ | $\geqslant 1.0$ |
| | 土基 | $\geqslant 1.2$ | $\geqslant 1.1$ | $\geqslant 1.05$ |
### 3. 按抗剪强度指标选取的安全系数（表4.3.4）
若依据抗剪强度指标确定，安全系数 $K$ 的取值范围如下 [T3]：
- **固结快剪**：$1.1 \sim 1.3$
- **有效剪**：$1.3 \sim 1.5$
- **十字板剪**：$1.1 \sim 1.3$
- **快剪**：$1.0 \sim 1.2$
### 4. 历史核算与校准背景
根据《重力式码头设计与施工规范》（JTS 167—2—2009）的修订校准计算，当 $K_s=1.3$ 时，总体平均可靠指标 $\beta_s$ 为 3.6 [T2]。其中：
- 带卸荷板方块或空心块体、沉箱（墙后全填石）码头的 $\beta_s$ 为 3.02；
- 墙后全填砂的扶壁码头的 $\beta_s$ 为 4.35。
您是否想了解重力式码头抗倾稳定安全系数的具体取值标准？</t>
        </is>
      </c>
      <c r="F3" s="2" t="inlineStr">
        <is>
          <t>重力式码头抗滑稳定安全系数（$K'_c$）的具体数值取值如下 [T1]：
1.  **基本组合 1**：安全系数应 $\geqslant 3.0$ [T1]。
2.  **基本组合 2**：安全系数应 $\geqslant 2.5$ [T1]。
3.  **特殊组合 1**：安全系数应 $\geqslant 2.5$ [T1]。
4.  **特殊组合 2**：安全系数应 $\geqslant 2.3$ [T1]。
您是否想了解重力式码头抗倾稳定安全系数的具体取值标准？</t>
        </is>
      </c>
      <c r="G3" s="2" t="inlineStr">
        <is>
          <t>根据检索到的《重力式码头与疏浚技术规范》（JTS 167-2-2009）相关表格，重力式码头抗滑稳定安全系数 $K_c$ 的具体数值需根据**地基类型**（岩基或土基）、**荷载组合**以及**水工建筑物级别**综合确定 [T5]。
具体数值标准如下：
### 1. 按地基类型与荷载组合划分（适用于所有级别）
*   **基本组合 1**：
    *   岩基：$K_c \geqslant 1.1$
    *   土基：$K_c \geqslant 1.4$
*   **基本组合 2**：
    *   岩基：$K_c \geqslant 1.05$
    *   土基：$K_c \geqslant 1.3$
*   **特殊组合 1**：
    *   岩基：$K_c \geqslant 1.05$
    *   土基：$K_c \geqslant 1.3$
*   **特殊组合 2**：
    *   岩基：$K_c \geqslant 1.0$
    *   土基：$K_c \geqslant 1.2$
### 2. 按水工建筑物级别划分（针对基本组合 1）
*   **1、2 级建筑物**：
    *   岩基：$K_c \geqslant 1.1$
    *   土基：$K_c \geqslant 1.4$
*   **3 级建筑物**：
    *   岩基：$K_c \geqslant 1.05$
    *   土基：$K_c \geqslant 1.3$
*   **4、5 级建筑物**：
    *   岩基：$K_c \geqslant 1.05$
    *   土基：$K_c \geqslant 1.2$
### 3. 其他相关安全系数参考
*   **抗倾稳定安全系数 $K_0$**：
    *   基本组合 1：1、2 级 $\geqslant 1.6$，3 级 $\geqslant 1.5$，4、5 级 $\geqslant 1.4$ [T4]
    *   基本组合 2：1、2 级 $\geqslant 1.5$，3 级 $\geqslant 1.4$，4、5 级 $\geqslant 1.3$ [T4]
*   **抗浮稳定安全系数 $K_f$**：
    *   1、2 级 $\geqslant 1.1$
    *   3、4、5 级 $\geqslant 1.05$ [T1]
您是否想了解重力式码头设计中关于“基本组合”与“特殊组合”的具体荷载定义？</t>
        </is>
      </c>
      <c r="H3" s="2" t="inlineStr"/>
      <c r="I3" s="2" t="inlineStr"/>
      <c r="J3" s="2" t="inlineStr"/>
      <c r="K3" s="2" t="inlineStr"/>
    </row>
    <row r="4">
      <c r="A4" s="2" t="inlineStr">
        <is>
          <t>A3</t>
        </is>
      </c>
      <c r="B4" s="2" t="inlineStr">
        <is>
          <t>能力题</t>
        </is>
      </c>
      <c r="C4" s="2" t="inlineStr">
        <is>
          <t>那抗倾稳定呢？</t>
        </is>
      </c>
      <c r="D4" s="2" t="inlineStr">
        <is>
          <t>承接上轮抗滑口径，给抗倾安全取值与出处</t>
        </is>
      </c>
      <c r="E4" s="2" t="inlineStr">
        <is>
          <t>根据检索到的规范，重力式码头抗倾稳定安全系数 $K_0$ 的具体数值取值如下：
1.  **按荷载组合类型取值（通用标准）**：
    *   **基本组合 1**：安全系数 $K_0 \geqslant 1.5$ 
    *   **基本组合 2**：安全系数 $K_0 \geqslant 1.4$ 
    *   **特殊组合 1**：安全系数 $K_0 \geqslant 1.4$ 
    *   **特殊组合 2**：安全系数 $K_0 \geqslant 1.3$ 
2.  **按地基条件与建筑物级别取值（特定规范）**：
    若依据包含地基与建筑物级别维度的规范，抗倾稳定安全系数 $K_0$ 的取值如下 ：
    *   **岩基**：
        *   水工建筑物级别 1：基本组合 $\geqslant 1.3$，特殊组合 $\geqslant 1.25$
        *   水工建筑物级别 2、3：基本组合 $\geqslant 1.25$，特殊组合 $\geqslant 1.2$
        *   水工建筑物级别 4、5：基本组合 $\geqslant 1.25$，特殊组合 $\geqslant 1.2$
    *   **土基**：
        *   水工建筑物级别 1：基本组合 $\geqslant 1.5$，特殊组合 $\geqslant 1.4$
        *   水工建筑物级别 2、3：基本组合 $\geqslant 1.4$，特殊组合 $\geqslant 1.3$
        *   水工建筑物级别 4、5：基本组合 $\geqslant 1.3$，特殊组合 $\geqslant 1.25$
3.  **其他相关指标**：
    *   在抗震设计中，岸壁式码头整体稳定验算中抗倾的抗震调整系数 $\gamma_{RE}=1.15$，其值对应于87规范中规定的抗倾稳定安全系数 $K_0=1.4$ [K4]。
    *   横拉闸门在运行和检修工况下的抗倾稳定安全系数不应小于 1.25 [K1]。
您是否想了解重力式码头抗浮稳定安全系数 $K_f$ 的具体取值标准？</t>
        </is>
      </c>
      <c r="F4" s="2" t="inlineStr">
        <is>
          <t>根据《码头结构设计规范 JTS 167-2018》及《JTJ 308-2003 船闸闸阀门设计规范》，抗倾稳定安全系数（$K_0$）的取值取决于码头类型、结构安全等级及荷载组合。具体数值如下：
### 1. 重力式码头（按可靠指标设计）
根据《码头结构设计规范 JTS 167-2018》附录 R，抗倾稳定可靠指标（$\beta_0$）对应的安全系数要求如下 [K3][K5]：
- **结构安全等级为二级**：抗倾稳定可靠指标 $\beta_0$ 不小于 **4.0** [K3]。
- **结构安全等级为一级**：抗倾稳定可靠指标 $\beta_0$ 不小于 **4.5** [K3]。
*注：校准计算表明，当抗倾稳定安全系数 $K_0 = 1.6$ 时，总体平均可靠指标 $\beta_0$ 为 4.1，符合一级结构要求；其中墙后全填砂的扶壁码头 $\beta_0$ 可达 4.81 [K5]。*
### 2. 横拉闸门（船闸结构）
根据《JTJ 308-2003 船闸闸阀门设计规范》，横拉闸门应分别验算运行和检修工况下的抗倾稳定性，其抗倾稳定安全系数不应小于 **1.25** [K1][K2]。
- 国内已建横拉闸门采用该系数（1.25），经30多年运行均未发生倾覆稳定事故 [K2]。
### 3. 船闸水工建筑物（按传统安全系数法）
根据《JTJ 307-2001 船闸水工建筑物设计规范》，抗倾稳定安全系数 $K_0$ 应符合表 3.3.3 的规定 [K6][K7]。虽然具体表格数值在检索摘要中未完全展开，但规范明确指出其需满足该表规定，且计算式 $K_0 = M_R / M_0$ 中，$M_R$ 为稳定力矩之和（含浮托力），$M_0$ 为倾覆力矩之和（含渗透压力） [K14]。
您是否想了解关于重力式码头抗滑稳定安全系数与可靠指标之间的具体换算关系？</t>
        </is>
      </c>
      <c r="G4" s="2" t="inlineStr">
        <is>
          <t>重力式码头抗倾稳定安全系数 $K_0$ 的取值主要依据**荷载组合类型**、**地基条件**（岩基或土基）以及**水工建筑物级别**确定，具体数值如下 ：
1.  **按荷载组合分类的取值（通用标准）**：
    *   **基本组合 1**：安全系数 $K_0 \geqslant 1.5$ 。
    *   **基本组合 2**：安全系数 $K_0 \geqslant 1.4$ 。
    *   **特殊组合 1**：安全系数 $K_0 \geqslant 1.4$ 。
    *   **特殊组合 2**：安全系数 $K_0 \geqslant 1.3$ 。
2.  **按地基类型与建筑物级别分类的取值（特定规范）**：
    若依据包含地基条件和水工建筑物级别的规范，抗倾稳定安全系数 $K_0$ 的取值如下 ：
    *   **岩基**：
        *   水工建筑物级别 1：基本组合 $\geqslant 1.3$，特殊组合 $\geqslant 1.25$ 。
        *   水工建筑物级别 2、3：基本组合 $\geqslant 1.25$，特殊组合 $\geqslant 1.2$ 。
        *   水工建筑物级别 4、5：基本组合 $\geqslant 1.25$，特殊组合 $\geqslant 1.2$ 。
    *   **土基**：
        *   水工建筑物级别 1：基本组合 $\geqslant 1.5$，特殊组合 $\geqslant 1.4$ 。
        *   水工建筑物级别 2、3：基本组合 $\geqslant 1.4$，特殊组合 $\geqslant 1.3$ 。
        *   水工建筑物级别 4、5：基本组合 $\geqslant 1.4$，特殊组合 $\geqslant 1.3$ 。
此外，相关规范还指出，按原设计断面对墙底前趾得出的抗倾可靠指标 $\beta_0$ 绝大多数都远大于 4.0，其相应的安全系数 $K_0$ 也很大，通常校准计算表明当 $K_0=1.6$ 时可靠指标均大于 3.5 。
您是否想了解重力式码头抗滑稳定安全系数与抗倾稳定安全系数在取值上的主要区别？</t>
        </is>
      </c>
      <c r="H4" s="2" t="inlineStr"/>
      <c r="I4" s="2" t="inlineStr"/>
      <c r="J4" s="2" t="inlineStr"/>
      <c r="K4" s="2" t="inlineStr"/>
    </row>
    <row r="5">
      <c r="A5" s="2" t="inlineStr">
        <is>
          <t>A4</t>
        </is>
      </c>
      <c r="B5" s="2" t="inlineStr">
        <is>
          <t>能力题</t>
        </is>
      </c>
      <c r="C5" s="2" t="inlineStr">
        <is>
          <t>把第4题的计算过程再详细讲一遍</t>
        </is>
      </c>
      <c r="D5" s="2" t="inlineStr">
        <is>
          <t>步骤完整（含各富裕深度分量）+ 数值与第 4 轮一致</t>
        </is>
      </c>
      <c r="E5" s="2" t="inlineStr">
        <is>
          <t>为了详细复现第4题（3万吨级杂货船码头前沿设计水深计算）的计算过程，我们需要先确定**龙骨下最小富裕深度 $Z_1$**，然后结合其他富裕深度进行求和。
### 1. 确定龙骨下最小富裕深度 $Z_1$
根据《海港总体设计规范》（JTS 165-2013）表5.5.5-1，龙骨下最小富裕深度 $Z_1$ 取决于**船舶满载吃水 $T$** 和**船舶类型** 。
*   **已知条件**：
    *   船舶类型：杂货船
    *   满载吃水 $T = 10.5$ 米
*   **查表取值**：
    根据规范表5.5.5-1（航行时龙骨下最小富裕深度）：
    *   当满载吃水 $T \leqslant 10$ 米时，杂货船的 $Z_1$ 为 $0.5$ 米。
    *   当满载吃水 $10 &lt; T \leqslant 15$ 米时，杂货船的 $Z_1$ 为 **$0.6$ 米** 。
    由于本题中 $T = 10.5$ 米，落在 $10 &lt; T \leqslant 15$ 区间，因此：
    $$Z_1 = 0.6 \text{ 米}$$
### 2. 确定其他富裕深度分量
码头前沿设计水深 $D$ 的计算公式为：
$$D = T + Z_0 + Z_1 + Z_2 + Z_3$$
其中：
*   $T$：船舶设计满载吃水（已知 $10.5$ 米）
*   $Z_0$：基床沉降量（通常取 $0$，除非有特殊软基处理要求，一般计算中常忽略或取较小值，此处假设无特殊基床沉降或已包含在备淤中，通常主要考虑后三项）
*   $Z_1$：龙骨下最小富裕深度（已算出 $0.6$ 米）
*   $Z_2$：波浪富裕深度
*   $Z_3$：备淤深度
**详细分项说明：**
1.  **波浪富裕深度 $Z_2$**：
    *   这是指在设计低水位时，船舶在波浪作用下产生的下沉量。
    *   具体数值需根据港口所在地的波浪要素（如波高、周期）通过模型试验或经验公式确定。
    *   *注：由于题目未提供具体港口的波浪数据，此处无法给出精确数值。在实际工程中，对于3万吨级杂货船，$Z_2$ 通常取值在 $0.1 \sim 0.3$ 米左右，具体需查表或计算 。*
2.  **备淤深度 $Z_3$**：
    *   这是为了防止航道和码头前沿回淤而预留的深度。
    *   根据《海港总体设计规范》，有淤积的港口，备淤深度不宜小于 $0.4$ 米；若无淤积或淤积极轻，可取 $0.2$ 米或更小 。
    *   *注：题目未说明港口淤积情况，通常保守取值 $0.4$ 米 。*
3.  **配载尾倾值**：
    *   对于散货船和油轮，因配载不均匀需增加船尾吃水，取值 $0.10 \sim 0.15$ 米。杂货船通常不强制要求此项，或已包含在 $Z_1$ 的安全余量中 。
### 3. 计算结果汇总
假设该港口为**一般淤积港口**（取备淤 $Z_3 = 0.4$ 米），且**波浪富裕深度 $Z_2$** 经计算或查表为 **$0.2$ 米**（示例值，实际需根据当地水文确定），且忽略基床沉降 $Z_0 = 0$。
则码头前沿设计水深 $D$ 为：
$$D = T + Z_1 + Z_2 + Z_3$$
$$D = 10.5 + 0.6 + 0.2 + 0.4$$
$$D = 11.7 \text{ 米}$$
**最终结论：**
该3万吨级杂货船码头前沿设计水深由**满载吃水 $10.5$ 米**加上**龙骨下最小富裕深度 $0.6$ 米**，以及**波浪富裕深度**和**备淤深度**组成。若按一般淤积港口且波浪富裕深度为 $0.2$ 米估算，设计水深约为 **$11.7$ 米**。
您是否想知道如何根据具体港口的波浪数据来计算波浪富裕深度 $Z_2$？</t>
        </is>
      </c>
      <c r="F5" s="2" t="inlineStr">
        <is>
          <t>根据《JTS 165-2013 海港总体设计规范》及《JTS 181-2016 航道工程设计规范》，3万吨级杂货船码头前沿设计水深 $D$ 的计算过程详细如下：
### 1. 计算公式
码头前沿设计水深由船舶设计满载吃水和龙骨下总富裕水深两部分构成，公式为：
$$D = T + Z_1 + Z_2 + Z_3 + Z_4$$
其中：
*   $T$：设计船型满载吃水。
*   $Z_1$：龙骨下最小富裕深度。
*   $Z_2$：波浪富裕深度。
*   $Z_3$：船舶配载不均匀尾倾值。
*   $Z_4$：备淤深度。
### 2. 参数确定与计算
**（1）船舶满载吃水 $T$**
题目给定该3万吨级杂货船满载吃水为 **$10.5\text{m}$** 。
**（2）龙骨下最小富裕深度 $Z_1$**
*   **依据**：根据《JTS 165-2013》表5.3.2，对于3万吨级（$10000 \le \text{DWT} &lt; 50000$）杂货船：
    *   若码头为重力式且基床宽度超出护舷前沿线，按岩石考虑，取 **$0.60\text{m}$** 。
    *   若按土质考虑，取 **$0.40\text{m}$** 。
*   **取值**：需根据实际码头地基条件选择，通常重力式码头若基床抛石超出护舷线，按岩石取值更常见。
**（3）波浪富裕深度 $Z_2$**
*   **依据**：规范规定，在有掩护的港域内，若波周期小于6s，波浪富裕深度 $Z_2$ 通常为负值，故可不计，取 **$0$** 。
*   **注意**：若为开敞式码头或波周期较大，需按规范公式计算，但本题未提供波浪参数，按常规有掩护港域处理。
**（4）船舶配载不均匀尾倾值 $Z_3$**
*   **依据**：规范规定，杂货船和集装箱船可不计尾倾值，故取 **$0$** 。
*   **对比**：散货船和油轮码头通常需增加 $0.10 \sim 0.15\text{m}$，但杂货船无需增加 。
**（5）备淤深度 $Z_4$**
*   **依据**：
    *   对于有淤积的港口，不宜小于 **$0.4\text{m}$** 。
    *   对于不淤港口，可不计，取 **$0$** 。
*   **取值**：需根据港口实际回淤情况确定。
### 3. 计算结果汇总
根据上述参数的不同组合，得出以下四种典型情况的设计水深：
1.  **按岩石考虑（基床超出护舷线）且不计备淤（不淤港口）**：
    $$D = 10.5 + 0.60 + 0 + 0 = \mathbf{11.10\text{m}}$$ 
2.  **按土质考虑且不计备淤（不淤港口）**：
    $$D = 10.5 + 0.40 + 0 + 0 = \mathbf{10.90\text{m}}$$ 
3.  **按岩石考虑且计备淤（有淤积港口，$Z_4=0.4\text{m}$）**：
    $$D = 10.5 + 0.60 + 0 + 0 + 0.4 = \mathbf{11.50\text{m}}$$ 
4.  **按土质考虑且计备淤（有淤积港口，$Z_4=0.4\text{m}$）**：
    $$D = 10.5 + 0.40 + 0 + 0 + 0.4 = \mathbf{11.30\text{m}}$$ 
您是否想了解关于开敞式大型码头前沿设计水深不宜小于1.1倍船舶满载吃水的特殊规定？</t>
        </is>
      </c>
      <c r="G5" s="2" t="inlineStr">
        <is>
          <t>由于在之前的对话中，您仅提供了“某3万吨级杂货船，满载吃水10.5米”这一条件，而**未提供**计算码头前沿设计水深所需的其他关键参数（如龙骨下最小富裕深度、波浪富裕深度、配载尾倾值、回淤备淤深度等），因此无法直接给出一个确定的最终数值结果。
为了让您理解完整的计算过程，我将基于《海港总体设计规范》（JTS 165-2013）等常见规范，**假设**一组典型的工程参数，为您演示详细的计算步骤。
### 码头前沿设计水深计算公式
根据规范，码头前沿设计水深 $D$ 的计算公式为：
$$ D = T + Z $$
其中：
*   $T$ 为船舶设计满载吃水。
*   $Z$ 为龙骨下总富裕水深。
而龙骨下总富裕水深 $Z$ 由以下四部分组成：
$$ Z = Z_1 + Z_2 + Z_3 + Z_4 $$
*   $Z_1$：龙骨下最小富裕深度。
*   $Z_2$：波浪富裕深度。
*   $Z_3$：船舶配载不均匀尾倾值。
*   $Z_4$：回淤备淤深度。
---
### 详细计算步骤（基于假设参数）
**已知条件：**
*   船舶类型：3万吨级杂货船
*   满载吃水 $T = 10.5$ 米
**假设参数（需根据具体工程实际情况确定）：**
1.  **确定 $Z_1$（龙骨下最小富裕深度）：**
    *   根据规范，对于杂货船，$Z_1$ 通常根据船舶吃水和船型查表确定。
    *   *假设*：查表得 $Z_1 = 0.5$ 米（此为常见经验值，具体需查《海港总体设计规范》相关表格，通常随吃水增加而增加，3万吨级杂货船可能在0.4-0.6米之间）。
2.  **确定 $Z_2$（波浪富裕深度）：**
    *   该值取决于波浪要素（波高、周期等）和船舶运动响应。
    *   *假设*：经波浪模型试验或计算，得出波浪富裕深度 $Z_2 = 0.3$ 米。
3.  **确定 $Z_3$（船舶配载不均匀尾倾值）：**
    *   规范规定，散货船和油轮码头，因船舶配载不均匀应增加船尾吃水，其值取 0.10～0.15m。
    *   *假设*：对于杂货船，若配载较为均匀，可不计或取较小值；若按散货船标准保守考虑，*假设* $Z_3 = 0.15$ 米。
4.  **确定 $Z_4$（回淤备淤深度）：**
    *   规范规定，码头前沿可能发生回淤时增加备淤的富裕水深，其值不小于 0.2m（河港）或不宜小于 0.4m（海港）。
    *   *假设*：该港口为海港且有一定回淤风险，*假设* $Z_4 = 0.4$ 米。
**计算过程：**
1.  **计算龙骨下总富裕水深 $Z$：**
    $$ Z = Z_1 + Z_2 + Z_3 + Z_4 $$
    $$ Z = 0.5 + 0.3 + 0.15 + 0.4 = 1.35 \text{ 米} $$
2.  **计算码头前沿设计水深 $D$：**
    $$ D = T + Z $$
    $$ D = 10.5 + 1.35 = 11.85 \text{ 米} $$
### 结论
在您提供的案例中，若采用上述假设参数，该3万吨级杂货船的码头前沿设计水深约为 **11.85米**。
**注意：** 实际工程中，$Z_1$ 必须查阅《海港总体设计规范》中针对“杂货船”的具体表格，$Z_2$ 需通过水工模型试验或数值计算确定，$Z_4$ 需根据当地水文泥沙资料确定。不同港口、不同船型的具体参数会有显著差异。
您是否想了解如何根据具体的船舶吃水和港口水文条件，查询规范的“龙骨下最小富裕深度”表格？</t>
        </is>
      </c>
      <c r="H5" s="2" t="inlineStr"/>
      <c r="I5" s="2" t="inlineStr"/>
      <c r="J5" s="2" t="inlineStr"/>
      <c r="K5" s="2" t="inlineStr"/>
    </row>
    <row r="6">
      <c r="A6" s="2" t="inlineStr">
        <is>
          <t>A5</t>
        </is>
      </c>
      <c r="B6" s="2" t="inlineStr">
        <is>
          <t>能力题</t>
        </is>
      </c>
      <c r="C6" s="2" t="inlineStr">
        <is>
          <t>刚才第二个问题说了什么</t>
        </is>
      </c>
      <c r="D6" s="2" t="inlineStr">
        <is>
          <t>机制自检题：复述第 2 轮提问原文「想知道的」+ 当时回答要点；不计入 §7.1 分母</t>
        </is>
      </c>
      <c r="E6" s="2" t="inlineStr">
        <is>
          <t>没有检索到足够证据支持最终结论。检索结果中未找到关于“上一段未命中，进入下一段：L1 语义检索”这一具体技术指令或操作方法的直接证据。
以下相关信息供参考：
- 在《JTS 181—2016-航道工程设计规范.pdf》中，提到了乘潮水位是指船舶乘潮进出航道的某一潮位，并以该潮位作为航道和不包括码头前沿水域、锚地的港内水域的设计通航水位[K8]。
- 在《JTS 145—2015 港口与航道水文规范.pdf》中，涉及海港工程总体设计和水工建筑物结构设计采用相同的设计高水位、设计低水位和极端高水位，以及乘潮潮位累积频率的统计计算方法[K1]。
- 在《JTS 181—2016-航道工程设计规范.pdf》中，列出了设计通航水位及乘潮水位的相关章节标题[K2]。
- 在《JTS 145—2015 港口与航道水文规范.pdf》中，涉及天然河流航道设计最高通航水位、设计最低通航水位以及受潮汐影响明显的常年潮流段航道乘潮水位的计算方法[K4]。
- 在《JTS 145—2015 港口与航道水文规范.pdf》中，提到常年潮流段乘潮潮位可采用海港乘潮水位的方法计算[K5]。
您是否想了解乘潮水位的具体统计计算步骤？</t>
        </is>
      </c>
      <c r="F6" s="2" t="inlineStr">
        <is>
          <t>上一轮对话中，您询问了“乘潮水位怎么计算”。
我基于检索到的规范（如《JTS 181—2016-航道工程设计规范》和《JTS 145—2015 港口与航道水文规范》）进行了回答，主要内容包括：
1.  **计算步骤**：首先确定乘潮所需持续时间（包括船舶间追踪航行的间隔时间及时间富裕系数1.1~1.3）；然后在潮位过程线上量取各次潮历时等于该持续时间的潮位值作为样本；最后绘制累积频率曲线并选取所需的累积频率潮位值[K1]。
2.  **取值标准**：乘潮水位宜采用乘潮累积频率90%以上的乘潮水位；单一潮位站的乘潮水位可取与每潮次船舶乘潮进出航道所需的持续时间相对应的乘潮累积频率90%~95%的水位；对通行大型船舶次数较少的航道，乘潮累积频率可适当降低[K3]。
3.  **其他规定**：乘潮水位计算应有一年以上的实测潮位资料；当潮位受气象影响季节性变化较大时，应核算低水位月份的航道通过能力及其对港口正常营运的影响[K3]。
您是否想了解乘潮水位与设计高水位、极端高水位在工程应用中的具体区别？</t>
        </is>
      </c>
      <c r="G6" s="2" t="inlineStr">
        <is>
          <t>乘潮水位是指船舶乘潮进出航道的某一潮位，并以该潮位作为航道和不包括码头前沿水域、锚地的港内水域的设计通航水位。其计算主要依据《JTS 181—2016 航道工程设计规范》和《JTS 145—2015 港口与航道水文规范》，核心是通过统计船舶乘潮所需持续时间对应的潮位累积频率来确定[K2]。
- **计算步骤**：
    1.  **确定乘潮所需持续时间**：首先确定每潮次船舶通过航道的持续时间，包括船舶间追踪航行的间隔时间，并考虑时间富裕系数（取1.1~1.3）[K2]。
    2.  **提取潮位样本**：在实测潮位过程线上，量取各次潮历时等于上述“乘潮所需持续时间”的潮位值，以这些潮位值作为样本[K2]。
    3.  **绘制累积频率曲线**：按规范附录E规定的方法，以潮位值为样本绘制乘潮潮位累积频率曲线[K2]。
    4.  **选取设计乘潮水位**：在累积频率曲线上选取所需的累积频率潮位值。通常情况下，乘潮水位可取与每潮次船舶乘潮进出航道所需的持续时间相对应的乘潮累积频率90%~95%的水位；对通行大型船舶次数较少的航道，乘潮累积频率可适当降低[K2]。
- **注意事项**：
    -   单一潮位站的乘潮水位统计应有一年以上的实测潮位资料。
    -   当潮位受气象影响季节性变化较大时，应核算低水位月份的航道通过能力及其对港口正常营运的影响。
    -   对于受潮汐影响明显的常年潮流段航道，乘潮水位计算方法与海港乘潮水位方法相同，即先确定设计船舶通过浅段持续历时，在潮位过程线上取各次潮该持续历时的潮位值，然后进行累积频率分析，最后确定满足设计船舶通过所需相应保证率的潮位[K3]。
    -   若需计算沿程乘潮水位，应根据多个潮位站的潮位资料分析计算乘潮历时与乘潮水位，并分别计算进、出港两个方向的乘潮历时和乘潮水位[K5]。
您是否想了解关于“时间富裕系数”的具体取值依据或不同港口类型的乘潮水位差异？</t>
        </is>
      </c>
      <c r="H6" s="2" t="inlineStr"/>
      <c r="I6" s="2" t="inlineStr"/>
      <c r="J6" s="2" t="inlineStr"/>
      <c r="K6" s="2" t="inlineStr"/>
    </row>
    <row r="7">
      <c r="A7" s="2" t="inlineStr">
        <is>
          <t>A6</t>
        </is>
      </c>
      <c r="B7" s="2" t="inlineStr">
        <is>
          <t>能力题</t>
        </is>
      </c>
      <c r="C7" s="2" t="inlineStr">
        <is>
          <t>请把上面提到的每一类支座病害的成因、检查方法和处治工艺都展开详细说明</t>
        </is>
      </c>
      <c r="D7" s="2" t="inlineStr">
        <is>
          <t>类别齐全（来自第 1 轮答案清单），每类含成因/检查/处治</t>
        </is>
      </c>
      <c r="E7" s="2" t="inlineStr">
        <is>
          <t>没有检索到足够证据支持最终结论。检索结果主要涉及支座的设计选型、受力计算及一般性构件的外观检查方法，未找到针对“支座病害成因、检查方法和处治工艺”的具体规范条文。以下相关信息供参考：
- **支座选型与设计**：规范规定了平板钢、弧形钢板、辊轴、滚轮、铰轴、板式橡胶、盆式橡胶及球形钢支座等不同类型支座的适用跨度及受力要求（如摩擦系数、转角限制等）[K1][K2][K3]。
- **抗震与构造要求**：在强烈地震作用下，支座可能出现销钉剪断、锚栓拔出、摆柱歪斜及落梁等破坏形式，需进行抗震验算 [K5][K9]。
- **一般构件检查方法**：对于水上及水下钢结构构件，常规检查方法包括目测法、量测法，必要时采用潜水员或水下机器人探摸、水下录像及三维成像声呐等 [K10][K11][K12]。
您是否想了解针对上述病害的具体抗震构造措施或支座选型标准？</t>
        </is>
      </c>
      <c r="F7" s="2" t="inlineStr">
        <is>
          <t>没有检索到足够证据支持最终结论。检索结果主要涉及支座的设计选型、受力计算及一般构件的外观检查方法，未找到针对“支座病害成因、检查方法和处治工艺”的具体展开说明。
以下相关信息供参考：
- **支座选型与设计**：规范中列出了平板钢支座、弧形钢板支座、辊轴支座、滚轮支座、铰轴支座、板式橡胶支座、盆式橡胶支座或球形钢支座等类型 [K1]。
- **检查方法**：对于钢结构构件，检查内容包括锈蚀、变形、脱焊等损伤、节点松动，检查方法为目测法、量测法 [K10]。对于混凝土构件，检查内容包括蜂窝、麻面、露石、锈迹、裂缝、空鼓、剥落、露筋和破损等缺陷，检查方法为目测法、量测法 [K10]。
- **支座受力要求**：板式橡胶支座设计应满足平均应力、防脱空、剪切变形、受压稳定、抗滑稳定等方面的规定 [K1]；盆式橡胶支座应满足竖向承载力和滑移向的位移量要求 [K1]。
您是否想了解针对上述支座类型的抗震构造措施或具体选型标准？</t>
        </is>
      </c>
      <c r="G7" s="2" t="inlineStr">
        <is>
          <t>没有检索到足够证据支持最终结论。
检索证据中主要涉及《水运工程钢结构设计规范》（JTS 152-2012）中关于支座选型、受力计算及摩擦系数的规定，以及《上海港口基础设施检测评估技术导则》中关于水上/水下构件（混凝土、钢结构）外观检查的通用方法，但**未检索到**针对“销钉与锚固部件破坏”、“摆柱与结构歪斜”、“位移与落梁风险”、“锚固强度不足”这四类具体支座病害的**成因机理、专项检查方法或具体处治工艺**的详细规定。
以下相关信息供参考：
- **支座选型与设计规定**：规范规定了平板钢支座、弧形钢板支座、辊轴支座、滚轮支座、铰轴支座、板式橡胶支座、盆式橡胶支座或球形钢支座等类型的适用条件 [K1]。例如，平板钢支座宜用于跨度小于 12m 的钢结构，其底板面积应满足局部承压要求 [K2]。
- **检查方法（通用）**：对于钢结构构件，检查内容包括锈蚀、变形、脱焊等损伤、节点松动，检查方法为目测法、量测法，具体按 JTS 235 和 JTS 310 执行 [K10]。对于水下钢结构，可采用潜水员或水下机器人探摸，必要时采用水下录像、水下三维成像声呐及激光水下三维成像等方法 [K11]。
- **处治与验算（通用）**：规范提到需对支座及销钉、锚栓等部件和焊缝进行抗震验算，以保证桥跨支座的抗震强度 [K1]。对于伸臂梁前支座，通过设置横向约束措施可有效防止伸臂梁侧向失稳 [K4]。
您是否想了解针对特定类型支座（如板式橡胶支座或盆式橡胶支座）的具体设计参数要求？</t>
        </is>
      </c>
      <c r="H7" s="2" t="inlineStr"/>
      <c r="I7" s="2" t="inlineStr"/>
      <c r="J7" s="2" t="inlineStr"/>
      <c r="K7" s="2" t="inlineStr"/>
    </row>
    <row r="8">
      <c r="A8" s="2" t="inlineStr">
        <is>
          <t>A7</t>
        </is>
      </c>
      <c r="B8" s="2" t="inlineStr">
        <is>
          <t>能力题</t>
        </is>
      </c>
      <c r="C8" s="2" t="inlineStr">
        <is>
          <t>上一条里为什么没有一个引用，都是[K6] [K7]?</t>
        </is>
      </c>
      <c r="D8" s="2" t="inlineStr">
        <is>
          <t>指认上一条回答里的引用标记分布并解释</t>
        </is>
      </c>
      <c r="E8" s="2" t="inlineStr">
        <is>
          <t>没有检索到足够证据支持最终结论。检索结果中未找到关于“乘潮累积频率”具体统计公式或详细计算步骤的直接证据，仅包含少量提及乘潮水位计算方法的片段。以下相关信息供参考：
- 受潮汐影响明显的常年潮流段航道，往往利用潮位上涨时段，增加通航历时。乘潮水位计算方法是先确定设计船舶通过浅段持续历时，在潮位过程线上取各次潮该持续历时的潮位值，然后进行累积频率分析，最后确定满足设计船舶通过所需相应保证率的潮位 [K14]。
- 乘潮水位宜采用乘潮累积频率90%以上的乘潮水位；对通行大型船舶次数较少的航道，乘潮累积频率可适当降低 [K1]。
您是否想知道如何确定“设计船舶通过浅段持续历时”的具体构成？</t>
        </is>
      </c>
      <c r="F8" s="2" t="inlineStr">
        <is>
          <t>没有检索到足够证据支持最终结论。检索结果中未包含关于“乘潮累积频率”具体统计方法（如附录E）的直接条款，仅有一条内河航道规范片段提及了乘潮水位计算的基本逻辑（确定持续历时、取潮位值、累积频率分析），但未提供详细的统计步骤或公式。以下相关信息供参考：
- 内河航道乘潮水位计算的基本逻辑：先确定设计船舶通过浅段持续历时，在潮位过程线上取各次潮该持续历时的潮位值，然后进行累积频率分析，最后确定满足设计船舶通过所需相应保证率的潮位 [K14]。
- 港口与航道工程中，乘潮水位通常依据《JTS 181—2016 航道工程设计规范》确定，其核心在于通过统计潮位累积频率来选取设计水位，具体统计过程（如样本量、频率曲线绘制方法）需参照该规范的附录执行 [K1][K2]。
您是否想了解内河航道中“设计最低通航水位”的具体确定方法？</t>
        </is>
      </c>
      <c r="G8" s="2" t="inlineStr">
        <is>
          <t>没有检索到足够证据支持最终结论。检索结果中未找到关于“乘潮累积频率”具体统计公式或详细计算步骤的直接证据，仅包含其他规范中关于系数K的表格或无关内容。以下相关信息供参考：
- 内河航道中，受潮汐影响明显的常年潮流段航道，乘潮水位计算方法是先确定设计船舶通过浅段持续历时，在潮位过程线上取各次潮该持续历时的潮位值，然后进行累积频率分析，最后确定满足设计船舶通过所需相应保证率的潮位 [K14]。
- 海港工程中，乘潮水位宜采用乘潮累积频率 90% 以上的水位；对于单一潮位站，可取与每潮次船舶乘潮进出航道所需持续时间相对应的乘潮累积频率 90%~95% 的水位；对通行大型船舶次数较少的航道，乘潮累积频率可适当降低 [K1][K2]。
您是否想知道乘潮水位与航道设计水深之间的具体关系？</t>
        </is>
      </c>
      <c r="H8" s="2" t="inlineStr"/>
      <c r="I8" s="2" t="inlineStr"/>
      <c r="J8" s="2" t="inlineStr"/>
      <c r="K8" s="2" t="inlineStr"/>
    </row>
    <row r="9">
      <c r="A9" s="2" t="inlineStr">
        <is>
          <t>B1</t>
        </is>
      </c>
      <c r="B9" s="2" t="inlineStr">
        <is>
          <t>能力题</t>
        </is>
      </c>
      <c r="C9" s="2" t="inlineStr">
        <is>
          <t>帮我算一下：先查出 DWT=40000 杂货船的满载吃水 T，再加上 0.5 米富裕深度，总共多少？</t>
        </is>
      </c>
      <c r="D9" s="2" t="inlineStr">
        <is>
          <t>复用上一轮 T 值 + 给出 T+0.5 结果；T 与表不一致 = ❌</t>
        </is>
      </c>
      <c r="E9" s="2" t="inlineStr">
        <is>
          <t>没有检索到足够证据支持最终结论。当前仅能确认已有片段与问题相关，但不足以安全地给出完整答案，请继续补充可核对的规范依据。</t>
        </is>
      </c>
      <c r="F9" s="2" t="inlineStr">
        <is>
          <t>没有检索到足够证据支持最终结论。当前仅能确认已有片段与问题相关，但不足以安全地给出完整答案，请继续补充可核对的规范依据。</t>
        </is>
      </c>
      <c r="G9" s="2" t="inlineStr">
        <is>
          <t>没有检索到足够证据支持最终结论。当前仅能确认已有片段与问题相关，但不足以安全地给出完整答案，请继续补充可核对的规范依据。</t>
        </is>
      </c>
      <c r="H9" s="2" t="inlineStr"/>
      <c r="I9" s="2" t="inlineStr"/>
      <c r="J9" s="2" t="inlineStr"/>
      <c r="K9" s="2" t="inlineStr"/>
    </row>
    <row r="10">
      <c r="A10" s="2" t="inlineStr">
        <is>
          <t>B2</t>
        </is>
      </c>
      <c r="B10" s="2" t="inlineStr">
        <is>
          <t>能力题</t>
        </is>
      </c>
      <c r="C10" s="2" t="inlineStr">
        <is>
          <t>某港区设计高水位 3.5m，设计低水位 0.5m，DWT=40000 杂货船，计算航道通航水深</t>
        </is>
      </c>
      <c r="D10" s="2" t="inlineStr">
        <is>
          <t>公式 + 各分量取值 + 结果 + 规范依据</t>
        </is>
      </c>
      <c r="E10" s="2" t="inlineStr">
        <is>
          <t>根据检索到的《杂货船设计船型尺度表 A.0.1-1》，DWT=40000（对应吨级范围 35001~55000t）的杂货船，其满载吃水 T 为 12.3 m [T1]。
根据规范公式，航道通航水深 $D_0$ 的计算公式为：
$D_0 = T + Z_0 + Z_1 + Z_2 + Z_3$ [T8]
其中：
- $T$ 为设计船型满载吃水，取 12.3 m [T1]。
- $Z_0$ 为设计低水位时的富裕深度（或称“龙骨下富裕深度”）。题目中给出的“设计高水位 3.5m，设计低水位 0.5m”为水位参数，而“0.5米富裕深度”通常指 $Z_0$（即保证船舶在最低通航水位下，船底与河床/海底之间的最小安全距离）。在航道水深计算中，$Z_0$ 是独立于水位的富裕量。因此，取 $Z_0 = 0.5$ m。
- $Z_1$ 为船舶航行下沉量。题目未提供船舶具体参数（如船型系数、航速等）以计算或查表确定 $Z_1$。
- $Z_2$ 为波浪产生的垂直运动富裕深度。题目未提供海域波浪条件，无法确定 $Z_2$。
- $Z_3$ 为因航道底质、水体密度、回淤强度等因素产生的富裕深度。题目未提供相关水文地质条件，无法确定 $Z_3$。
由于题目仅提供了满载吃水 T 和富裕深度 $Z_0$（0.5m），未提供 $Z_1, Z_2, Z_3$ 的数值或计算依据，无法完整计算航道通航水深 $D_0$。
若仅计算包含已知项的部分水深（即 $T + Z_0$）：
$12.3 + 0.5 = 12.8$ m。
但完整的航道通航水深 $D_0$ 必须包含 $Z_1, Z_2, Z_3$。因证据不足，无法给出完整的航道通航水深最终值。
- 满载吃水 T：12.3 m [T1]
- 富裕深度 $Z_0$：0.5 m（题目给定）
- 航行下沉量 $Z_1$：未知（需船舶参数）
- 波浪垂直运动 $Z_2$：未知（需波浪资料）
- 其他富裕深度 $Z_3$：未知（需水文地质资料）
- 部分计算结果（$T+Z_0$）：12.8 m
您是否想了解如何根据船舶具体参数计算航行下沉量 $Z_1$？</t>
        </is>
      </c>
      <c r="F10" s="2" t="inlineStr">
        <is>
          <t>根据检索到的《杂货船设计船型尺度表 A.0.1-1》，DWT=40000（对应吨级范围 35001~55000t）的杂货船，其满载吃水 T 为 12.3 m [T1]。
根据《港口工程荷载规范》或《海港总体设计规范》中关于航道通航水深的计算公式，航道通航水深 $D_0$ 的计算公式为：
$D_0 = T + Z_0 + Z_1 + Z_2 + Z_3$ [T8]
其中：
- $T$ 为设计船型满载吃水，取 12.3 m [T1]。
- $Z_0$ 为船舶航行下沉量。题目未提供船舶具体参数（如船型系数、航速等）以计算 $Z_0$，通常需通过模型试验或经验公式确定。在缺乏具体船舶数据且未提及实载率修正的情况下，若按最简化的工程估算（仅考虑吃水和富裕深度，且假设其他修正项 $Z_1, Z_2, Z_3$ 较小或已包含在富裕深度中，或者题目隐含“富裕深度”即为总富裕量），我们需要明确 $Z_0$ 等分项。
- 然而，题目中给出的“0.5 米富裕深度”通常指总富裕水深（Squat + Under Keel Clearance 等综合值，即 $Z_0 + Z_1 + Z_2 + Z_3$ 的总和或简化值）。在港口工程设计中，若未提供详细船舶操纵参数，常将“富裕深度”视为 $Z_0 + Z_1 + Z_2 + Z_3$ 的总和。
- 设计低水位为 0.5 m。航道通航水深 $D_0$ 是相对于**设计通航水位**的水深。题目给出的是“设计高水位”和“设计低水位”。
- 根据规范，航道设计水深 $D$ 是相对于**设计通航水位**（通常取设计低水位或乘潮水位）的疏浚深度。
- 航道通航水深 $D_0$ 的计算基准是**设计通航水位**。
- 若题目意指“在最低设计水位时的通航水深”，则需明确设计通航水位。通常航道设计通航水位取设计低水位（0.5m）或乘潮水位。
- 让我们重新审视公式：$D_0 = T + Z_0 + Z_1 + Z_2 + Z_3$ [T8]。这里的 $D_0$ 是航道通航水深，它是相对于**设计通航水位**的。
- 题目问的是“航道通航水深”。这通常指 $D_0$。
- 已知：$T = 12.3$ m [T1]。
- 已知：富裕深度（通常指 $Z_{total} = Z_0 + Z_1 + Z_2 + Z_3$）为 0.5 m。
- 因此，$D_0 = 12.3 + 0.5 = 12.8$ m。
- 注意：$D_0$ 是相对于**设计通航水位**的水深。如果题目问的是“航道底高程”或“相对于海图基准面的水深”，则需要减去设计通航水位。但题目问的是“航道通航水深”，这通常指 $D_0$ 本身，即船底到水面的垂直距离加上富裕量。
- 另一种理解：如果“航道通航水深”指的是**航道设计水深** $D$（相对于设计通航水位），且公式为 $D = D_0 + Z_4$（$Z_4$ 为泥沙回淤量），题目未提供回淤量，通常忽略或认为 $Z_4=0$。
- 还有一种理解：题目可能是在问**航道底高程**相对于某个基准（如理论最低潮面）的值，或者问的是**实际水深**。
- 但根据常规工程问法，“航道通航水深”通常指 $D_0$。
- 让我们确认一下 $Z_0$ 等是否包含在“富裕深度”中。在简化计算中，富裕深度 $Z$ 往往指 $Z_0 + Z_1 + Z_2 + Z_3$。
- 因此，$D_0 = T + Z = 12.3 + 0.5 = 12.8$ m。
但是，我们需要确认“设计低水位”和“设计高水位”的作用。
- 航道设计水深 $D$ 是相对于**设计通航水位**的。
- 如果设计通航水位取**设计低水位**（0.5m），那么航道底高程 $Z_{nav} = H_{nav} - D$。
- 题目问的是“航道通航水深”，这通常就是 $D_0$。
- 如果题目问的是“航道底高程”，则需要计算。
- 如果题目问的是“在最低水位时的实际水深”，那可能是 $D_0$。
- 让我们再看一眼公式：$D_0 = T + Z_0 + Z_1 + Z_2 + Z_3$ [T8]。
- 这里的 $D_0$ 是**航道通航水深**。
- 所以，$D_0 = 12.3 + 0.5 = 12.8$ m。
等等，我需要确认“富裕深度”是否等于 $Z_0 + Z_1 + Z_2 + Z_3$。
在《海港总体设计规范》中，$Z_0$ 是船舶航行下沉量，$Z_1$ 是波浪垂直运动，$Z_2$ 是 squat 效应（有时归入 $Z_0$），$Z_3$ 是其他。通常“富裕水深”或“富裕深度”指的是 $Z_0 + Z_1 + Z_2 + Z_3$ 的总和。
因此，$D_0 = 12.3 + 0.5 = 12.8$ m。
但是，有些语境下，“航道通航水深”可能指**航道底高程**相对于**理论最低潮面**的水深，即 $D_{chart} = D_0 - H_{nav}$（如果 $H_{nav}$ 是设计通航水位，且相对于理论最低潮面有差值）。
题目给出了“设计高水位 3.5m”和“设计低水位 0.5m”。这通常是相对于**理论最低潮面**（或当地基准面）的。
如果设计通航水位取**设计低水位**（0.5m），那么：
航道设计水深 $D$（相对于设计通航水位）= $D_0$（假设无回淤 $Z_4=0$）。
$D_0 = 12.8$ m。
那么航道底高程 $Z_{nav} = 0.5 - 12.8 = -12.3$ m（相对于理论最低潮面）。
此时，在**设计低水位**时，航道实际水深为 12.8 m。
在**设计高水位**时，航道实际水深为 $12.8 + (3.5 - 0.5) = 15.8$ m。
题目问“计算航道通航水深”。
在规范中，$D_0$ 被称为“航道通航水深”。
所以答案应该是 12.8 m。
但是，如果题目中的“富裕深度”仅指 $Z_0$（沉深），而忽略了其他项，那就不对了。通常“富裕深度”是总富裕量。
另外，有些简化计算中，航道水深 $D = T + Z$，其中 $Z$ 是富裕水深。
所以 $D = 12.3 + 0.5 = 12.8$ m。
让我们再检查一下是否有其他解释。
如果“航道通航水深”指的是**航道底高程**，那应该是负值。
如果指的是**相对于海图基准面的水深**，那需要知道设计通航水位相对于海图基准面的值。题目给出的“设计高/低水位”通常就是相对于海图基准面（理论最低潮面）的。
如果设计通航水位取设计低水位（0.5m），则航道设计水深 $D$（相对于设计通航水位）为 12.8 m。
此时，航道底高程为 $0.5 - 12.8 = -12.3$ m。
海图水深（相对于理论最低潮面）在最低水位时为 12.8 m。
通常“航道通航水深”指 $D_0$。
所以答案是 12.8 m。
但是，如果题目隐含要求计算**航道底高程**，或者**海图水深**，那就不一样了。
鉴于题目只给了“设计高/低水位”和“富裕深度”，且问“航道通航水深”，最直接的对应是 $D_0$。
不过，还有一种可能：题目中的“富裕深度”是指**最小富裕水深**，即 $Z_0 + Z_1 + Z_2 + Z_3$。
所以 $D_0 = 12.3 + 0.5 = 12.8$ m。
最终答案：12.8 m。
您是否想了解该航道底高程相对于理论最低潮面的具体数值？</t>
        </is>
      </c>
      <c r="G10" s="2" t="inlineStr">
        <is>
          <t>航道通航水深为 13.3 m [T1]。
您是否想了解该水深对应的富余水深（Q值）选取依据？</t>
        </is>
      </c>
      <c r="H10" s="2" t="inlineStr"/>
      <c r="I10" s="2" t="inlineStr"/>
      <c r="J10" s="2" t="inlineStr"/>
      <c r="K10" s="2" t="inlineStr"/>
    </row>
    <row r="11">
      <c r="A11" s="2" t="inlineStr">
        <is>
          <t>B3</t>
        </is>
      </c>
      <c r="B11" s="2" t="inlineStr">
        <is>
          <t>能力题</t>
        </is>
      </c>
      <c r="C11" s="2" t="inlineStr">
        <is>
          <t>查一下杂货船设计船型尺度，DWT=40000 的满载吃水</t>
        </is>
      </c>
      <c r="D11" s="2" t="inlineStr">
        <is>
          <t>直接给出 T 值、不重复检索错表</t>
        </is>
      </c>
      <c r="E11" s="2" t="inlineStr">
        <is>
          <t>根据《杂货船设计船型尺度表 A.0.1-1》，DWT=40000（对应吨级范围 35001~55000 t）的杂货船，其满载吃水 T 为 12.3 m [T1]。
您是否想了解该吨级杂货船的其他设计尺度（如总长 L、型宽 B、型深 H）？</t>
        </is>
      </c>
      <c r="F11" s="2" t="inlineStr">
        <is>
          <t>DWT=40000 杂货船对应的满载吃水 T 为 12.3 m [T1]。
您是否想了解该吨级杂货船的其他设计尺度（如总长 L、型宽 B、型深 H）？</t>
        </is>
      </c>
      <c r="G11" s="2" t="inlineStr">
        <is>
          <t>根据《杂货船设计船型尺度表 A.0.1-1》，DWT=40000（对应船舶吨级范围 35001~55000t）的杂货船，其满载吃水 T 为 12.3 m [T1]。
您是否想了解该吨级杂货船的其他设计尺度（如总长 L、型宽 B、型深 H）？</t>
        </is>
      </c>
      <c r="H11" s="2" t="inlineStr"/>
      <c r="I11" s="2" t="inlineStr"/>
      <c r="J11" s="2" t="inlineStr"/>
      <c r="K11" s="2" t="inlineStr"/>
    </row>
    <row r="12">
      <c r="A12" s="2" t="inlineStr">
        <is>
          <t>B4</t>
        </is>
      </c>
      <c r="B12" s="2" t="inlineStr">
        <is>
          <t>能力题</t>
        </is>
      </c>
      <c r="C12" s="2" t="inlineStr">
        <is>
          <t>某5000吨级散货船，满载吃水T=9.8m，试计算码头前沿设计水深</t>
        </is>
      </c>
      <c r="D12" s="2" t="inlineStr">
        <is>
          <t>分量齐（龙骨下富裕深度等）+ 结果正确 + 出处</t>
        </is>
      </c>
      <c r="E12" s="2" t="inlineStr">
        <is>
          <t>```tool_calls
[{"name": "table_search", "arguments": {"query": "某5000吨级散货船，满载吃水T=9.8m，试计算码头前沿设计水深"}}]
```</t>
        </is>
      </c>
      <c r="F12" s="2" t="inlineStr">
        <is>
          <t>没有检索到足够证据支持最终结论。检索结果中未包含《海港总体设计规范》（JTS 165）中关于5000吨级散货船码头前沿水深富裕高度（$Z_1$）的具体数值表，也未提供计算该船型龙骨下最小富裕深度的具体公式或参数。
根据《海港总体设计规范》（JTS 165），码头前沿设计水深 $D$ 的计算公式为：
$$ D = T + Z + \Delta Z $$
其中：
- $T$ 为设计船型满载吃水（已知为 9.8 m）；
- $Z$ 为龙骨下总富裕深度，包括龙骨下最小富裕深度 $Z_1$、波浪富裕深度 $Z_2$、船舶配载不均匀尾倾值 $Z_3$ 和回淤备淤深度 $Z_4$；
- $\Delta Z$ 为基床沉降量（若存在）。
由于缺乏 $Z_1$（需查表，通常与底质有关）、$Z_2$（需根据波浪条件计算）、$Z_3$（散货船通常取 0.10~0.15 m）及 $Z_4$ 的具体数值，无法给出最终计算结果。
您是否想知道如何根据底质和波浪条件确定龙骨下最小富裕深度 $Z_1$？</t>
        </is>
      </c>
      <c r="G12" s="2" t="inlineStr">
        <is>
          <t>```tool_calls
[{"name": "table_search", "arguments": {"query": "某5000吨级散货船，满载吃水T=9.8m，试计算码头前沿设计水深"}}]
```</t>
        </is>
      </c>
      <c r="H12" s="2" t="inlineStr"/>
      <c r="I12" s="2" t="inlineStr"/>
      <c r="J12" s="2" t="inlineStr"/>
      <c r="K12" s="2" t="inlineStr"/>
    </row>
    <row r="13">
      <c r="A13" s="2" t="inlineStr">
        <is>
          <t>C1</t>
        </is>
      </c>
      <c r="B13" s="2" t="inlineStr">
        <is>
          <t>能力题</t>
        </is>
      </c>
      <c r="C13" s="2" t="inlineStr">
        <is>
          <t>JTS 181 里乘潮水位累积频率表怎么规定的</t>
        </is>
      </c>
      <c r="D13" s="2" t="inlineStr">
        <is>
          <t>给出条文/表号 + 频率取值口径</t>
        </is>
      </c>
      <c r="E13" s="2" t="inlineStr">
        <is>
          <t>根据《JTS 181—2016 航道工程设计规范》第 5.4 节的规定，乘潮水位的累积频率取值及确定方法如下：
### 1. 基本取值规定
*   **一般规定**：乘潮水位宜采用**乘潮累积频率 90% 以上**的乘潮水位 [K1]。
*   **具体统计取值**：
    *   单一潮位站的乘潮水位，可取与每潮次船舶乘潮进出航道所需的持续时间相对应的**乘潮累积频率 90% ~ 95%** 的水位 [K1]。
    *   对于通行大型船舶次数较少的航道，乘潮累积频率可适当降低 [K1]。
    *   新建和正在设计中的一些港口航道，乘潮水位均选在**乘潮累积频率 90% 以上**的位置 [K2]。
### 2. 确定方法与要求
*   **统计依据**：乘潮水位应根据需要乘潮的船舶航行密度、航行持续时间，结合所在地区潮汐特征、航道沿程潮位过程和疏浚工程量等因素合理确定 [K1]。
*   **资料要求**：单一潮位站的乘潮水位应按现行行业标准的有关规定进行统计，且应有一年以上的实测潮位资料 [K1]。
*   **计算步骤**：
    1.  首先确定乘潮所需持续时间（包括船舶间追踪航行的间隔时间，并考虑时间富裕系数 1.1~1.3）[K1]。
    2.  在潮位过程线上，量取各次潮历时等于乘潮所需持续时间的潮位值，以潮位值作为潮位样本绘制累积频率曲线 [K3]。
    3.  在乘潮潮位累积频率曲线上选取所需的累积频率潮位值 [K3]。
### 3. 季节性影响
*   当潮位受气象影响季节性变化较大时，对所选用的乘潮水位，应核算低水位月份的航道通过能力及其对港口正常营运的影响 [K1]。
*   从我国沿海港口乘潮水位全年冬三月（12月、1月、2月）差值分析可看出：北方海区冬季潮位较低、加之减水影响，乘潮水位冬三月较全年约低 0.3m；而南方海区差值不显著，均在 0.1m 以内 [K2]。
您是否想知道不同船型吨级下，设计低水位对应的具体多年历时保证率标准？</t>
        </is>
      </c>
      <c r="F13" s="2" t="inlineStr">
        <is>
          <t>根据《JTS 181—2016 航道工程设计规范》，乘潮水位累积频率的规定如下：
- 乘潮水位宜采用乘潮累积频率 **90%以上** 的乘潮水位 [K1]。
- 具体确定方法：单一潮位站的乘潮水位应按现行行业标准的有关规定进行统计，且应有一年以上的实测潮位资料。乘潮水位可取与每潮次船舶乘潮进出航道所需的持续时间相对应的乘潮累积频率 **90%~95%** 的水位 [K1]。
- 特殊情况：对通行大型船舶次数较少的航道，乘潮累积频率可适当降低 [K1]。
- 统计计算步骤（依据《JTS 145—2015 港口与航道水文规范》）：
    1. 首先确定乘潮所需持续时间 [K3]。
    2. 在潮位过程线上，量取各次潮历时等于乘潮所需持续时间的潮位值，以潮位值作为潮位样本按附录 E 中规定的方法绘制累积频率曲线 [K3]。
    3. 在乘潮潮位累积频率曲线上选取所需的累积频率潮位值 [K3]。
您是否想知道不同船型吨级下设计低水位的具体多年历时保证率标准？</t>
        </is>
      </c>
      <c r="G13" s="2" t="inlineStr">
        <is>
          <t>根据《JTS 181—2016 航道工程设计规范》第 5.4 节的规定，乘潮水位的累积频率取值主要依据船舶航行密度、持续时间及潮汐特征确定，具体规定如下：
- **基本取值范围**：乘潮水位宜采用乘潮累积频率 **90%以上** 的乘潮水位 [K1]。
- **具体统计标准**：单一潮位站的乘潮水位应基于一年以上实测潮位资料统计，通常取与每潮次船舶乘潮进出航道所需持续时间相对应的乘潮累积频率 **90%~95%** 的水位 [K1]。
- **特殊情况调整**：对于通行大型船舶次数较少的航道，乘潮累积频率可适当降低（即数值更小，水位更高） [K1]。
- **计算步骤**：乘潮潮位累积频率的统计需先确定乘潮所需持续时间，在潮位过程线上量取各次潮历时等于该持续时间的潮位值，绘制累积频率曲线后选取所需累积频率的潮位值 [K3]。
您是否想了解不同船型吨级下设计低水位的具体多年历时保证率标准？</t>
        </is>
      </c>
      <c r="H13" s="2" t="inlineStr"/>
      <c r="I13" s="2" t="inlineStr"/>
      <c r="J13" s="2" t="inlineStr"/>
      <c r="K13" s="2" t="inlineStr"/>
    </row>
    <row r="14">
      <c r="A14" s="2" t="inlineStr">
        <is>
          <t>C2</t>
        </is>
      </c>
      <c r="B14" s="2" t="inlineStr">
        <is>
          <t>能力题</t>
        </is>
      </c>
      <c r="C14" s="2" t="inlineStr">
        <is>
          <t>“乘潮累积频率”的具体统计</t>
        </is>
      </c>
      <c r="D14" s="2" t="inlineStr">
        <is>
          <t>统计步骤完整（样本、年限、保证率）</t>
        </is>
      </c>
      <c r="E14" s="2" t="inlineStr">
        <is>
          <t>“乘潮累积频率”的具体统计过程是一个从实测潮位数据中提取特定时间段潮位值，并进行概率排序的过程。具体步骤如下：
1.  **确定乘潮持续时间 ($T$)**：
    首先计算船舶进出航道所需的总时间。公式通常为：
    $$ T = t_{航行} + t_{追踪} $$
    其中：
    *   $t_{航行}$：船舶通过航道所需的时间。
    *   $t_{追踪}$：船舶间追踪航行的间隔时间。
    *   需注意，$T$ 应乘以时间富裕系数（通常取 1.1~1.3），以应对风浪、操纵误差等不确定因素 [K1][K5]。
2.  **量取潮位样本**：
    在实测的潮位过程线（或潮位数据序列）上，以任意时刻为起点，量取长度为 $T$ 的时段内的**最高潮位值**（或平均潮位值，视具体规范版本而定，通常取该时段内的最高水位作为代表，确保船舶在该时段内能安全通过）。将这些量取出的潮位值作为“乘潮潮位样本” [K1]。
    *   *注意*：为了获得足够的样本量，通常需要在多年的实测潮位数据中，滑动窗口地量取所有可能的 $T$ 时段的最高潮位。
3.  **排序与累积频率计算**：
    将所有量取的乘潮潮位样本按**从大到小**的顺序进行排列。
    然后计算每个样本值的累积频率。累积频率 $P$ 的计算公式通常为：
    $$ P = \frac{m}{n+1} \times 100\% $$
    其中：
    *   $m$：该样本值在排序后的序列中的序号（从大到小，最大值为第1位）。
    *   $n$：样本总数。
4.  **绘制累积频率曲线**：
    以潮位值为纵坐标，累积频率为横坐标，绘制乘潮潮位累积频率曲线 [K1]。
5.  **选取设计乘潮水位**：
    在曲线上找到对应的累积频率点。根据规范，通常选取累积频率为 **90%** 或 **90%~95%** 的水位作为设计乘潮水位 [K1][K5]。
**简单示例**：
假设你有100个乘潮时段样本，按潮位从高到低排序。第10个样本的潮位是3.5米。其累积频率约为 $10/(100+1) \approx 9.9\%$（注意：这里累积频率通常指“小于等于该值的概率”或“大于等于该值的概率”，在乘潮水位语境下，通常指**保证率**，即“水位高于该值的概率”）。
*   若规范定义累积频率为“水位高于该值的概率”，则第10个样本（高水位）对应的频率较低（如10%）。
*   若规范定义累积频率为“水位低于该值的概率”，则需转换。
*   **关键点**：乘潮水位要求的是**高水位**，因此我们关注的是**高累积频率**（如90%）对应的水位。这意味着有90%的时间，潮位高于该设计水位，从而保证船舶能乘潮进出。
您是否想了解如何确定“时间富裕系数”的具体取值？</t>
        </is>
      </c>
      <c r="F14" s="2" t="inlineStr">
        <is>
          <t>“乘潮累积频率”的统计是确定设计乘潮水位的核心步骤，其具体统计方法和原则如下：
1.  **样本获取**：
    在实测的潮位过程线上，量取各次潮历时等于“乘潮所需持续时间”的潮位值。这些量取的潮位值即为统计样本 [K1]。
2.  **绘制累积频率曲线**：
    以量取的潮位值作为样本，按规范附录规定的方法绘制**乘潮潮位累积频率曲线** [K1]。该曲线反映了不同水位值出现的累积概率。
3.  **选取设计水位**：
    在乘潮潮位累积频率曲线上选取所需的累积频率潮位值。具体选取标准如下：
    *   **一般情况**：乘潮水位宜采用乘潮累积频率 **90%** 以上的水位 [K5]。
    *   **单一潮位站**：可取与每潮次船舶乘潮进出航道所需持续时间相对应的乘潮累积频率 **90%~95%** 的水位 [K5]。
    *   **大型船舶通行较少**：对通行大型船舶次数较少的航道，乘潮累积频率可适当降低 [K5]。
**总结**：乘潮累积频率统计的本质是将“时间”转化为“水位概率”，通过确保船舶在足够高频率的高水位时段内能够安全通过航道，来反推设计所需的水位值。
您是否需要了解“乘潮所需持续时间”的具体构成要素（如航行时间、间隔时间等）？</t>
        </is>
      </c>
      <c r="G14" s="2" t="inlineStr">
        <is>
          <t>“乘潮累积频率”的统计是一个基于实测潮位数据、结合船舶航行特性进行概率分析的过程。根据《JTS 181—2016 航道工程设计规范》及《JTS 145—2015 港口与航道水文规范》，其具体统计步骤如下：
### 1. 确定“乘潮所需持续时间” ($T_{req}$)
这是统计的前提。首先需要计算船舶安全通过航道（或特定浅滩段）所需的总时间。
*   **计算公式**：$T_{req} = T_{pass} \times K$
    *   $T_{pass}$：船舶通过航道的航行时间（含船舶间追踪航行的间隔时间）。
    *   $K$：时间富裕系数，通常取 **1.1 ~ 1.3**，以应对风浪、操纵误差等不确定因素 [K1][K5]。
### 2. 从实测潮位过程线中量取“乘潮潮位样本”
在长期（通常不少于1年，最好多年）的实测潮位过程线上，进行以下操作：
*   **滑动窗口法**：在潮位过程线上，截取所有长度等于或大于 $T_{req}$ 的时间段。
*   **提取潮位值**：对于每一个截取的时间段，取其期间的**平均潮位**（或最低潮位，视具体规范版本和工程要求而定，通常取平均潮位作为该时段的代表水位）作为该时段的“乘潮潮位样本” [K1]。
    *   *注意*：如果某段时间内的潮位始终高于 $T_{req}$ 对应的某个水位，则该水位即为一个样本点。
### 3. 整理样本并绘制“乘潮潮位累积频率曲线”
*   **排序**：将所有提取出的“乘潮潮位样本”按**从大到小**的顺序排列。
*   **计算累积频率**：
    *   对于每一个样本水位 $h_i$，计算其出现的累积频率 $P$。
    *   累积频率 $P$ 表示：在统计期内，潮位**高于或等于**该水位 $h_i$ 的时间占总统计时间的百分比。
    *   公式示意：$P = \frac{N_{\ge h_i}}{N_{total}} \times 100\%$
        *   $N_{\ge h_i}$：潮位大于等于 $h_i$ 的样本数量（或对应的时间段数量）。
        *   $N_{total}$：总样本数量（或总时间段数）。
### 4. 选取设计乘潮水位
*   在绘制好的**乘潮潮位累积频率曲线**上，找到对应的**累积频率 90% ~ 95%** 的水位值。
*   **一般规定**：乘潮水位宜采用乘潮累积频率 **90% 以上**的水位 [K1]。
*   **单一潮位站**：可取与每潮次船舶乘潮进出航道所需持续时间相对应的乘潮累积频率 **90%~95%** 的水位 [K1]。
*   **大型船舶/少通航次数**：若航道通行大型船舶次数较少，为提高通航保证率，乘潮累积频率可适当**降低**（即取更高的水位，如 80% 或更低频率，意味着更严格的水位要求，但实际工程中常通过提高水位来保证通航，此处需注意规范原文表述：通常“降低频率”意味着取更高水位，但规范原文说“适当降低”可能指对频率要求放宽，即取较低水位，需结合具体工程风险评估。*注：根据JTS 181-2016 5.4.1，原文为“对通行大型船舶次数较少的航道，乘潮累积频率可适当降低”，此处“降低”指频率值变小，即取**更高**的水位，以保证通航安全*）。
### 总结关键点：
*   **核心变量**：乘潮所需持续时间 $T_{req}$。
*   **数据来源**：实测潮位过程线。
*   **统计对象**：长度 $\ge T_{req}$ 的潮位时段的平均潮位。
*   **最终结果**：累积频率 90%~95% 对应的潮位值。
您是否需要了解如何根据船舶吃水和航道水深反推所需的“乘潮所需持续时间”？</t>
        </is>
      </c>
      <c r="H14" s="2" t="inlineStr"/>
      <c r="I14" s="2" t="inlineStr"/>
      <c r="J14" s="2" t="inlineStr"/>
      <c r="K14" s="2" t="inlineStr"/>
    </row>
    <row r="15">
      <c r="A15" s="2" t="inlineStr">
        <is>
          <t>C3</t>
        </is>
      </c>
      <c r="B15" s="2" t="inlineStr">
        <is>
          <t>能力题</t>
        </is>
      </c>
      <c r="C15" s="2" t="inlineStr">
        <is>
          <t>“设计使用年限”在《港口工程荷载规范》或《码头结构设计规范》中的具体取值要求</t>
        </is>
      </c>
      <c r="D15" s="2" t="inlineStr">
        <is>
          <t>规范名 + 年限取值</t>
        </is>
      </c>
      <c r="E15" s="2" t="inlineStr">
        <is>
          <t>在《码头结构设计规范》(JTS 167-2018)中，码头结构的设计使用年限具体取值要求如下：
1.  **永久性码头**：设计使用年限应采用 **50年**，该规定为强制性内容 [K3][K4]。
2.  **临时性码头**：设计使用年限可采用临时使用的年限或 **5~10年** [K4]。
此外，规范指出目前我国港口工程结构可靠度设计采用的设计基准期为 50 年，与设计使用年限一致。当要求码头结构的设计使用年限更长时，需要对结构耐久性及可靠度等进行专门研究分析 [K3]。
您是否想了解关于码头结构耐久性设计中针对50年使用年限的具体防腐蚀措施要求？</t>
        </is>
      </c>
      <c r="F15" s="2" t="inlineStr">
        <is>
          <t>在《码头结构设计规范 JTS 167-2018》中，码头结构的设计使用年限具体取值要求如下：
1.  **永久性码头**：设计使用年限应采用 **50年**，该规定为强制性条文 [K3][K4]。
2.  **临时性码头**：设计使用年限可采用临时使用的年限或 **5~10年** [K4]。
此外，规范指出目前我国港口工程结构可靠度设计采用的设计基准期为 50 年，与设计使用年限一致。当要求码头结构的设计使用年限更长时，需要对结构耐久性及可靠度等进行专门研究分析 [K3]。
您是否想了解关于码头结构耐久性设计中针对50年使用年限的具体防腐蚀措施要求？</t>
        </is>
      </c>
      <c r="G15" s="2" t="inlineStr">
        <is>
          <t>在《码头结构设计规范》（JTS 167-2018）中，码头结构的设计使用年限具体取值要求如下：
1.  **永久性码头**：设计使用年限应采用 **50年** [K3][K4]。该规定依据《港口工程结构可靠性设计统一标准》（GB 50158—2010），属于强制性条文 [K3]。
2.  **临时性码头**：设计使用年限可采用临时使用的年限或 **5~10年** [K4]。
此外，规范指出目前我国港口工程结构可靠度设计采用的设计基准期为 50 年，与设计使用年限一致。当要求码头结构的设计使用年限更长时，需要对结构耐久性及可靠度等进行专门研究分析 [K3]。
您是否想了解关于码头结构耐久性设计的具体措施或环境类别划分标准？</t>
        </is>
      </c>
      <c r="H15" s="2" t="inlineStr"/>
      <c r="I15" s="2" t="inlineStr"/>
      <c r="J15" s="2" t="inlineStr"/>
      <c r="K15" s="2" t="inlineStr"/>
    </row>
    <row r="16">
      <c r="A16" s="2" t="inlineStr">
        <is>
          <t>C4</t>
        </is>
      </c>
      <c r="B16" s="2" t="inlineStr">
        <is>
          <t>能力题</t>
        </is>
      </c>
      <c r="C16" s="2" t="inlineStr">
        <is>
          <t>超过设计使用年限后，码头结构进行继续使用或改造的具体评估要求</t>
        </is>
      </c>
      <c r="D16" s="2" t="inlineStr">
        <is>
          <t>承接 C3 结论给出评估要求（检测项/评定方法）</t>
        </is>
      </c>
      <c r="E16" s="2" t="inlineStr">
        <is>
          <t>当码头结构达到或超过设计使用年限需继续使用时，必须根据检测与评估结果进行必要的修复或改造设计 [K1]。具体的评估与处理要求如下：
1.  **触发评估的情形**：根据《码头结构设计规范》（JTS 167—2018），码头达到或超过设计使用年限需继续使用是必须根据检测与评估结果进行修复或改造设计的六种情形之一 [K1]。
2.  **检测评估频次要求**：
    *   港口基础设施达到设计使用年限后继续使用时，应增加检测评估频次 [K3]。
    *   其中，**客运码头、危险化学品码头及其配套设施**的检测评估宜**每年1次** [K3][K5]。
    *   对于老码头因建设年代久远、验收基础资料缺失的情况，检测评估频次应根据港口基础设施实际服役状态确定 [K5]。
3.  **评估内容与方法**：
    *   检测单位应根据设施使用年限与现状等情况编制检测评估方案 [K2]。
    *   评估过程中结构或构件几何参数应采用实测值，并考虑材料劣化、锈蚀、局部缺陷等影响 [K5]。
    *   检测评估应明确港口基础设施技术状态类别、是否符合安全使用要求的结论 [K3]。
4.  **耐久性评估分级与处理**：根据《上海港口基础设施检测评估技术导则》，港口水工建筑物混凝土结构耐久性评估分为四级，处理要求如下 [K15]：
    *   **A级**：材料劣化度符合A级标准规定，耐久性满足设计使用年限要求，处理要求为**不必采取措施** [K15]。
    *   **B级**：材料劣化度符合B级标准规定，耐久性基本满足设计使用年限要求，结构损伤尚不影响承载能力，处理要求为**及时采取修复措施** [K15]。
    *   **C级**：材料劣化度符合C级标准规定，耐久性不满足设计使用年限要求，结构损伤已影响承载能力，处理要求为**立即采取修复、补强措施** [K15]。
    *   **D级**：材料劣化度符合D级标准规定，耐久性不满足设计使用年限要求，结构严重损坏，处理要求为**视条件采取修复、补强措施或报废** [K15]。
您是否想了解码头结构在超过设计使用年限后，具体需要进行哪些项目的检测评估？</t>
        </is>
      </c>
      <c r="F16" s="2" t="inlineStr">
        <is>
          <t>当码头结构超过设计使用年限后，若需继续使用或进行改造，必须依据检测与评估结果进行必要的修复或改造设计 [K1]。具体的评估要求及处理流程如下：
1.  **触发条件与评估必要性**：
    *   码头达到或超过设计使用年限需继续使用时，属于必须进行修复或改造设计的情形之一 [K1]。
    *   根据《上海港口基础设施检测评估技术导则》，达到设计使用年限后继续使用是必须开展检测评估的情况之一 [K2]。
2.  **检测评估的具体要求**：
    *   **增加评估频次**：港口基础设施达到设计使用年限后继续使用时，应增加检测评估频次。其中，客运码头、危险化学品码头及其配套设施的检测评估宜**每年1次** [K3][K5]。
    *   **评估内容**：检测评估应明确港口基础设施技术状态类别，并给出是否符合安全使用要求的结论 [K3]。评估过程中结构或构件几何参数应采用实测值，并考虑材料劣化、锈蚀、局部缺陷等影响 [K5]。
    *   **定期检查频次**：达到设计使用年限后继续使用的，维护单位应增加定期检查频次 [K4]。
3.  **结构耐久性评估与分级处理**：
    *   根据《上海港口基础设施检测评估技术导则》中的混凝土结构耐久性评估分级标准，评估结果分为A、B、C、D四级，对应不同的处理要求 [K15]：
        *   **A级**：材料劣化度符合A级标准，耐久性满足设计使用年限要求，处理要求为**不必采取措施** [K15]。
        *   **B级**：材料劣化度符合B级标准，耐久性基本满足设计使用年限要求，结构损伤尚不影响承载能力，处理要求为**及时采取修复措施** [K15]。
        *   **C级**：材料劣化度符合C级标准，耐久性不满足设计使用年限要求，结构损伤已影响承载能力，处理要求为**立即采取修复、补强措施** [K15]。
        *   **D级**：材料劣化度符合D级标准，耐久性不满足设计使用年限要求，结构严重损坏，处理要求为**视条件采取修复、补强措施或报废** [K15]。
4.  **改造设计原则**：
    *   若评估结果显示结构存在安全隐患或无法满足安全使用要求，应根据检测与评估结果对码头结构进行必要的修复或改造设计 [K1]。
    *   对于老码头因建设年代久远、验收基础资料缺失的情况，检测评估频次应根据港口基础设施实际服役状态确定 [K5]。
您是否想了解关于码头结构耐久性评估中具体的材料劣化度判定标准或检测方法？</t>
        </is>
      </c>
      <c r="G16" s="2" t="inlineStr">
        <is>
          <t>当码头结构达到或超过设计使用年限需继续使用时，必须依据检测与评估结果进行必要的修复或改造设计 [K1]。具体的评估要求主要涵盖检测频次的增加、检测项目的实施以及基于评估等级的处理措施，具体如下：
1.  **触发检测评估的情形**：根据《码头结构设计规范》(JTS 167-2018)，码头达到或超过设计使用年限需继续使用是必须根据检测与评估结果进行修复或改造设计的法定情形之一 [K1][K6]。《上海港口基础设施检测评估技术导则》也明确将“达到设计使用年限后继续使用”列为应及时开展检测评估工作的情况 [K2]。
2.  **增加检测评估频次**：
    *   港口基础设施达到设计使用年限后继续使用时，应增加检测评估频次 [K3][K4]。
    *   对于**客运码头、危险化学品码头及其配套设施**，检测评估宜**每年1次** [K3][K5]。
    *   对于其他老码头，若因建设年代久远、验收基础资料缺失，检测评估频次应根据港口基础设施实际服役状态确定 [K5]。
3.  **检测评估的具体内容**：
    *   检测单位应根据设施使用年限与现状等情况编制检测评估方案 [K2]。
    *   检测项目应符合港口基础设施结构形式和使用环境的要求（如表6.1.4所示，区分必检和可检项目） [K2]。
    *   评估过程中，结构或构件几何参数应采用实测值，并考虑材料劣化、锈蚀、局部缺陷等影响 [K5]。
4.  **基于评估等级的处理要求**：
    根据《上海港口基础设施检测评估技术导则》中的混凝土结构耐久性评估分级标准（表6.3.4-3），处理要求如下 [K15]：
    *   **A级**（材料劣化度符合A级标准，耐久性满足设计使用年限要求）：不必采取措施。
    *   **B级**（材料劣化度符合B级标准，耐久性基本满足设计使用年限要求，结构损伤尚不影响承载能力）：及时采取修复措施。
    *   **C级**（材料劣化度符合C级标准，耐久性不满足设计使用年限要求，结构损伤已影响承载能力）：立即采取修复、补强措施。
    *   **D级**（材料劣化度符合D级标准，耐久性不满足设计使用年限要求，结构严重损坏）：视条件采取修复、补强措施或报废。
您是否想了解关于码头结构耐久性设计中针对海水环境的具体防腐蚀措施？</t>
        </is>
      </c>
      <c r="H16" s="2" t="inlineStr"/>
      <c r="I16" s="2" t="inlineStr"/>
      <c r="J16" s="2" t="inlineStr"/>
      <c r="K16" s="2" t="inlineStr"/>
    </row>
    <row r="17">
      <c r="A17" s="2" t="inlineStr">
        <is>
          <t>C5</t>
        </is>
      </c>
      <c r="B17" s="2" t="inlineStr">
        <is>
          <t>能力题</t>
        </is>
      </c>
      <c r="C17" s="2" t="inlineStr">
        <is>
          <t>重力式码头抗滑稳定性验算应符合哪条规范要求？</t>
        </is>
      </c>
      <c r="D17" s="2" t="inlineStr">
        <is>
          <t>规范名 + 条款号 + 安全系数</t>
        </is>
      </c>
      <c r="E17" s="2" t="inlineStr">
        <is>
          <t>根据《港口工程荷载规范》（JTS 144）及《重力式码头设计与施工规范》（JTS 167）的规定，重力式码头抗滑稳定性验算应符合以下规范要求：
1.  **验算依据**：重力式码头抗滑稳定性应进行**可靠度分析**，其目标可靠指标 $\beta_s$ 应通过校准计算确定。根据规范校准，当抗滑稳定安全系数 $K_s = 1.3$ 时，目标可靠指标 $\beta_s$ 总体平均为 3.6，且各计算面（沿墙底面、胸墙底面、各层方块底面和基床底面）的抗滑稳定 $\beta_s$ 均大于 3.5 [T1]。
2.  **验算公式**：
    *   **不考虑地震作用时**：应按《重力式码头设计与施工规范》（JTS 167）附录 R 的规定，建立抗滑稳定性功能函数进行验算。例如，对于方块码头，不考虑波浪作用时，第 $i$ 层方块抗滑稳定性功能函数为：
        $$Z_{s_i} = (G_{s_i} + E_{Vi} K_{P_1} + E_{qVi}) f_i - (E_{Hi} K_{P_1} + E_{qHi} + P_{RHi})$$ [T3]
        对于沉箱码头，不考虑波浪作用时，抗滑稳定性功能函数为：
        $$Z_s = (G + E_V K_{P_1} + E_{qv}) f - (E_{Hi} K_{P_1} + E_{qHi} + P_W + P_{RHi})$$ [T5]
    *   **考虑地震作用时**：当采用拟静力法分析和振型分解反应谱法分析时，重力式码头抗震稳定性应按下列公式验算：
        $$\gamma_0 (\gamma_E E_H + \gamma_E E_{QH} + \gamma_{PH} P_H + \gamma_T \phi T_H) \leqslant \frac{(\gamma_G G + \gamma_E E_V + \gamma_E E_{QV} - \gamma_{PV} \phi_P P_V) f}{\gamma_{RE}}$$ [T2]
3.  **安全系数要求**：在旧版规范校准中，按原设计断面沿墙抗滑稳定可靠度指标均大于 4.0，其相应的安全系数 $K_s$ 也均大于 1.3 [T1]。
您是否想知道重力式码头抗倾稳定性验算的具体要求？</t>
        </is>
      </c>
      <c r="F17" s="2" t="inlineStr">
        <is>
          <t>依据《码头结构设计规范》（JTS 167-2018），重力式码头抗滑稳定性验算应符合以下规范要求：
- **验算位置与组合**：
    - 重力式码头承载能力极限状态的持久组合应进行沿墙底面和墙身各水平缝的抗滑稳定性，以及沿基床底面的抗滑稳定性验算 [K1]。
    - 当有2个或2个以上可变作用参与作用组合时，最大作用者为主导可变作用，其他为非主导可变作用，非主导可变作用需乘以小于1.0的作用组合系数（持久组合取 $\psi=0.7$，短暂组合取 $\psi=1.0$） [K3]。
- **具体验算公式**：
    - **岸壁码头**：
        - 不考虑波浪作用，且由可变作用产生的土压力为主导可变作用时，沿墙底面、墙身各水平缝和基床底面的抗滑稳定性可按公式 (7.3.2-1) 验算 [K2]。
        - 不考虑波浪作用，沿胸墙底面的抗滑稳定性验算，系缆力为主导可变作用时，可按公式 (7.3.2-2) 验算 [K2]。
        - 考虑波浪作用，波浪力为主导可变作用时，应按规范相关公式验算 [K2]。
    - **其他结构形式**：
        - 对于方块码头、扶壁码头和沉箱码头，规范附录R给出了不考虑波浪作用时，验算抗滑、抗倾稳定性可靠指标的功能函数（如公式 R.0.2-1、R.0.3-1、R.0.4-1） [K12]。
- **可靠度要求**：
    - 码头抗滑、抗倾稳定性的可靠指标 $\beta$ 应满足：结构安全等级为二级的港口工程结构，抗滑稳定不小于3.5；结构安全等级为一级的港口工程结构，抗滑稳定不小于4.0 [K11]。
您是否想了解《码头结构设计规范》中关于重力式码头抗倾稳定性验算的具体规定？</t>
        </is>
      </c>
      <c r="G17" s="2" t="inlineStr">
        <is>
          <t>依据《码头结构设计规范》（JTS 167-2018），重力式码头抗滑稳定性验算应符合该规范第7章“结构与构件计算”中的相关规定，具体条款如下：
1.  **抗滑稳定性验算条款**：
    *   **第7.3.2条**：规定了岸壁码头沿墙底面、墙身各水平缝和基床底面的抗滑稳定性验算公式 [K2]。
    *   **第7.3.3条**：规定了沉箱码头、方块码头和扶壁码头沿墙底面、胸墙底面、各层方块底面和基床底面的抗滑稳定性验算公式 [K3]。
2.  **验算内容与要求**：
    *   重力式码头承载能力极限状态的持久组合应进行沿墙底面和墙身各水平缝的抗滑稳定性验算，以及沿基床底面的抗滑稳定性验算 [K1]。
    *   当有2个或2个以上可变作用参与作用组合时，则最大作用者为主导可变作用，其他为非主导可变作用，需按主导可变作用的不同（如土压力或系缆力）选择相应的验算公式 [K3]。
3.  **抗震验算补充**：
    *   若涉及地震作用，重力式码头抗震稳定性（含抗滑）还需符合《水运工程抗震设计规范》（JTS 146）第5.6.5.1条的规定 [K13]。
您是否想知道《码头结构设计规范》中关于重力式码头抗滑稳定性验算的具体计算公式？</t>
        </is>
      </c>
      <c r="H17" s="2" t="inlineStr"/>
      <c r="I17" s="2" t="inlineStr"/>
      <c r="J17" s="2" t="inlineStr"/>
      <c r="K17" s="2" t="inlineStr"/>
    </row>
    <row r="18">
      <c r="A18" s="2" t="inlineStr">
        <is>
          <t>C6</t>
        </is>
      </c>
      <c r="B18" s="2" t="inlineStr">
        <is>
          <t>对照题</t>
        </is>
      </c>
      <c r="C18" s="2" t="inlineStr">
        <is>
          <t>沉箱干舷高度应满足哪条规范？</t>
        </is>
      </c>
      <c r="D18" s="2" t="inlineStr">
        <is>
          <t>给出规范出处与限值。**预注册对照题**：单轮无判定链、图上无节点——预期三臂 prompt 等价，任何差异都是干扰证据（用来验「图模式不伤单轮题」）</t>
        </is>
      </c>
      <c r="E18" s="2" t="inlineStr">
        <is>
          <t>沉箱干舷高度应满足规范中的式 7.6.13 的要求 [T1][T2]。
该公式的具体要求为：
$$ F \geqslant \frac {B}{2} \tan \theta + \frac {2 h}{3} + S $$
式中各参数含义及取值如下：
- $F$ —— 沉箱的干舷高度 (m)，$F = H - T$，$H$ 为沉箱高度，$T$ 为沉箱吃水 [T1]；
- $B$ —— 沉箱在水面处的宽度 (m) [T1]；
- $\theta$ —— 沉箱的倾角 ($^\circ$)，溜放时采用滑道末端的坡角，浮运时取 $6^\circ \sim 8^\circ$ [T1]；
- $h$ —— 波高 (m) [T1]；
- $S$ —— 沉箱干舷的富裕高度 (m)，取 $0.5\mathrm{m} \sim 1.0\mathrm{m}$ [T1]。
当沉箱干舷高度不满足上述要求时，可采用密封舱顶等措施 [T1][T2]。
您是否想了解关于沉箱浮游稳定性验算的具体公式？</t>
        </is>
      </c>
      <c r="F18" s="2" t="inlineStr">
        <is>
          <t>沉箱干舷高度应满足规范中的式 7.6.13 的要求 [T1][T2]。
该公式的具体要求为：
$$ F \geqslant \frac {B}{2} \tan \theta + \frac {2 h}{3} + S $$
式中各参数含义及取值如下：
- $F$ —— 沉箱的干舷高度 (m)，$F = H - T$，$H$ 为沉箱高度，$T$ 为沉箱吃水 [T1]；
- $B$ —— 沉箱在水面处的宽度 (m) [T1]；
- $\theta$ —— 沉箱的倾角 ($^\circ$)，溜放时采用滑道末端的坡角，浮运时取 $6^\circ \sim 8^\circ$ [T1]；
- $h$ —— 波高 (m) [T1]；
- $S$ —— 沉箱干舷的富裕高度 (m)，取 $0.5\mathrm{m} \sim 1.0\mathrm{m}$ [T1]。
当沉箱干舷高度不满足上述要求时，可采用密封舱顶等措施 [T1][T2]。
您是否想了解关于沉箱浮游稳定性验算的具体公式？</t>
        </is>
      </c>
      <c r="G18" s="2" t="inlineStr">
        <is>
          <t>沉箱干舷高度应满足规范中的式 7.6.13 的要求 [T1][T2]。
该公式的具体要求为：
$$ F \geqslant \frac {B}{2} \tan \theta + \frac {2 h}{3} + S $$
式中各参数含义及取值如下：
- $F$ —— 沉箱的干舷高度 (m)，$F = H - T$，$H$ 为沉箱高度，$T$ 为沉箱吃水 [T1]；
- $B$ —— 沉箱在水面处的宽度 (m) [T1]；
- $\theta$ —— 沉箱的倾角 ($^\circ$)，溜放时采用滑道末端的坡角，浮运时取 $6^\circ \sim 8^\circ$ [T1]；
- $h$ —— 波高 (m) [T1]；
- $S$ —— 沉箱干舷的富裕高度 (m)，取 $0.5\mathrm{m} \sim 1.0\mathrm{m}$ [T1]。
当沉箱干舷高度不满足上述要求时，可采用密封舱顶等措施 [T1][T2]。
您是否想了解关于沉箱浮游稳定性验算的具体公式？</t>
        </is>
      </c>
      <c r="H18" s="2" t="inlineStr"/>
      <c r="I18" s="2" t="inlineStr"/>
      <c r="J18" s="2" t="inlineStr"/>
      <c r="K18" s="2" t="inlineStr"/>
    </row>
    <row r="19">
      <c r="A19" s="2" t="inlineStr">
        <is>
          <t>D1</t>
        </is>
      </c>
      <c r="B19" s="2" t="inlineStr">
        <is>
          <t>能力题</t>
        </is>
      </c>
      <c r="C19" s="2" t="inlineStr">
        <is>
          <t>具体差多少</t>
        </is>
      </c>
      <c r="D19" s="2" t="inlineStr">
        <is>
          <t>给出可核对的数量口径，或明确说明证据缺失项</t>
        </is>
      </c>
      <c r="E19" s="2" t="inlineStr">
        <is>
          <t>没有检索到足够证据支持最终结论。证据中未提供选择乘潮水位与设计低水位在工程投资上的具体差值（如具体金额或百分比）。
以下相关信息供参考：
- 根据《JTS 165-5-2016 液化天然气码头设计规范》的调研结果，对于位于潮差较大区域且液化天然气船舶通航密度较小的航道，如果考虑部分乘潮通航，可**显著降低**疏浚工程投资 [K1]。
- 根据《JTS 181—2016 航道工程设计规范》，设计通航水位通常可取设计低水位或乘潮水位，其选择需根据各类船型对通航保证率的要求、航道所在地区的潮汐特征和疏浚工程量等因素分析确定 [K2]。
- 根据《JTS 165-2013 海港总体设计规范》，航道设计通航水位应根据各类船型对通航保证率的要求、港口所在地区的潮汐特征和疏浚工程量等因素分析确定，通常情况下可取设计低水位或乘潮累积频率90%以上的乘潮水位 [K3]。
- 规范指出，在水流条件变化可以预测的水域，当避开对船舶航行最不利的时段，对船舶安全明显有利且**工程投资较为节省**时，可选择以某一流速对应的延时作为通航时段 [K4]。
您是否想知道不同船型吨级下设计低水位的具体多年历时保证率标准？</t>
        </is>
      </c>
      <c r="F19" s="2" t="inlineStr">
        <is>
          <t>没有检索到足够证据支持最终结论。证据中未提供具体的投资差额数值或百分比，仅定性说明了乘潮水位对投资的影响方向。
以下相关信息供参考：
- 根据对国内液化天然气码头的调研结果，对于某些位于潮差较大区域且液化天然气船舶通航密度较小的航道，如果考虑部分乘潮通航，可**显著降低**疏浚工程投资 [K1]。
- 在水流条件变化可以预测的水域，当避开对船舶航行最不利的时段，对船舶安全明显有利且**工程投资较为节省**时，可选择以某一流速对应的延时作为通航时段 [K2]。
- 湖泊防洪水位高，设计最高通航水位也可提高，但入湖河口需建排涝闸及船闸，既**增加工程投资**，又影响航运效益；湖泊防洪水位低，调洪能力弱，但河口开畅，**航运投资少** [K6]。
- 乘潮水位的设计水深计算逻辑为：航道设计底高程 $Z$ 等于航道设计通航水位 $H_{nav}$ 减去航道设计水深 $D$（即疏浚底面对于设计通航水位的水深） [K3]。由于乘潮水位通常高于设计低水位，在相同设计水深 $D$ 要求下，采用乘潮水位对应的航道设计底高程会更高（即疏浚深度更小），从而减少疏浚工程量，降低投资 [K3]。
您是否想知道不同船型吨级下设计低水位的具体多年历时保证率标准？</t>
        </is>
      </c>
      <c r="G19" s="2" t="inlineStr">
        <is>
          <t>没有检索到足够证据支持最终结论。证据中未提供具体的数值差（如具体节省的土方量或投资金额百分比），仅定性说明了影响方向。以下相关信息供参考：
- 选择乘潮水位可显著降低疏浚工程投资，特别是在潮差较大且通航密度较小的区域，经充分论证后可部分利用潮位通航 [K1]。
- 设计通航水位通常可取设计低水位或乘潮水位，其中设计低水位采用低潮累积频率90%的潮位或历时累积频率98%的潮位，而乘潮水位宜采用乘潮累积频率90%以上的乘潮水位 [K2]。
- 航道设计水深 $D$ 即疏浚底面对于设计通航水位的水深，计算公式为 $Z = H_{nav} - D$（其中 $Z$ 为航道设计底高程，$H_{nav}$ 为航道设计通航水位） [K3]。
- 乘潮水位的确定需结合船舶航行密度、持续时间及疏浚工程量等因素，若选择设计低水位，则意味着在更低的水位下满足通航要求，从而增加疏浚深度和工程量，导致投资增加；反之，利用乘潮水位可减少疏浚量，节省投资 [K4]。
您是否想知道不同船型吨级下设计低水位的具体多年历时保证率标准？</t>
        </is>
      </c>
      <c r="H19" s="2" t="inlineStr"/>
      <c r="I19" s="2" t="inlineStr"/>
      <c r="J19" s="2" t="inlineStr"/>
      <c r="K19" s="2" t="inlineStr"/>
    </row>
    <row r="20">
      <c r="A20" s="2" t="inlineStr">
        <is>
          <t>D2</t>
        </is>
      </c>
      <c r="B20" s="2" t="inlineStr">
        <is>
          <t>能力题</t>
        </is>
      </c>
      <c r="C20" s="2" t="inlineStr">
        <is>
          <t>内河与外海有区别么</t>
        </is>
      </c>
      <c r="D20" s="2" t="inlineStr">
        <is>
          <t>至少在基准水位/方法/规范依据三项上说清区别</t>
        </is>
      </c>
      <c r="E20" s="2" t="inlineStr">
        <is>
          <t>是的，内河与外海（海洋）在疏浚底高程的计算上存在显著区别，主要体现在**深度基准面**、**设计通航水位**以及**富裕水深（安全系数）**的选取上。
- **深度基准面不同**：一般内河测图所载的深度基准面为**航行基准面**；而河口与外海测图所载的深度基准面为**理论最低潮面** [K8]。
- **设计通航水位的确定依据不同**：
    - **外海（海港）**：航道设计通航水位应根据各类船型对通航保证率的要求、港口所在地区的潮汐特征和疏浚工程量等因素分析确定。通常情况下可取**设计低水位**或**乘潮累积频率90%以上的乘潮水位**；对于通航液化天然气船舶等的航道，通航水位可取**理论最低潮面** [K1]。
    - **内河**：航道水深计算中，船舶吃水采用**船舶设计吃水**或**枯水期减载时的吃水**，而非单纯的满载吃水，且需考虑枯水期的通航保证率 [K4]。
- **富裕水深（安全系数）取值不同**：
    - **外海（海港）**：当自然条件资料不足时，航道所需通航水深估算公式 $D = kT$ 中的系数 $k$，有掩护水域可取 **1.15~1.20**，开敞水域可取 **1.20~1.30** [K1]。
    - **内河**：富裕水深 $\Delta H$ 需根据航道等级、船舶类型、航道条件等，从规范规定的表格中选用（如《内河通航标准》表 A.0.1），通常内河受风浪影响较小，其富裕水深数值与外海开敞水域有所不同 [K3]。
您是否想了解内河航道富裕水深的具体取值表格？</t>
        </is>
      </c>
      <c r="F20" s="2" t="inlineStr">
        <is>
          <t>内河与外海（海港）在疏浚底高程的计算上存在显著区别，主要体现在**设计通航水位的选取**、**水深富裕量的确定系数**以及**深度基准面**三个方面：
- **设计通航水位的选取不同**：
    - **外海（海港）**：通常取**设计低水位**或**乘潮累积频率90%以上的乘潮水位**；对于通航液化天然气船舶等特殊航道，可取**理论最低潮面** [K1]。
    - **内河**：通常取**设计低水位**，但在计算航道水深时，船舶吃水可取船舶设计吃水或枯水期减载时的吃水，且需考虑枯水期的通航保证率 [K3][K4]。
- **水深富裕量（安全富裕深度）的确定系数不同**：
    - **外海（海港）**：当自然条件资料不足时，航道所需通航水深估算公式 $D = kT$ 中的系数 $k$，**有掩护水域**可取 **1.15~1.20**，**开敞水域**可取 **1.20~1.30** [K1]。
    - **内河**：富裕水深 $\Delta H$ 需根据航道等级、船舶类型、航行条件等，直接查阅规范中的**表 A.0.1** 选用，通常内河水流相对平稳，富裕水深主要考虑船舶下沉量、波浪富裕量及备淤深度等，其取值逻辑与外海受风浪影响的系数 $k$ 不同 [K3]。
- **深度基准面与测图标准不同**：
    - **外海（海港）**：测图所载深度基准面通常为**理论最低潮面** [K8]。
    - **内河**：一般内河测图所载深度基准面为**航行基准面** [K8]。
- **其他影响因素**：
    - **外海**：设计时宜考虑船舶由海域进入河口水域后**水的密度**对船舶吃水的影响（海水密度大于淡水，吃水会减小） [K5]。
    - **内河**：需重点考虑**枯水期减载**时的吃水，以及山区河流水位暴涨暴落、变幅大等特点对码头前沿设计水深的影响 [K4]。
您是否想了解内河航道富裕水深 $\Delta H$ 的具体取值表格？</t>
        </is>
      </c>
      <c r="G20" s="2" t="inlineStr">
        <is>
          <t>是的，内河与外海（海洋）在疏浚底高程的计算上存在显著区别，主要体现在**设计通航水位的选取**、**水深富裕量的确定**以及**深度基准面**三个方面。
- **设计通航水位的选取不同**：
    - **外海（海港）**：通常取**设计低水位**或**乘潮累积频率90%以上的乘潮水位**；对于通航液化天然气船舶等特殊航道，可取**理论最低潮面** [K1]。
    - **内河**：通常取**设计低水位**，但在受径流影响明显的河段，需根据航道条件和运输要求，取船舶设计吃水或枯水期减载时的吃水对应的通航水位 [K3][K4]。
- **航道设计水深（富裕量）的计算系数不同**：
    - **外海（海港）**：当自然条件资料不足时，航道所需通航水深估算公式为 $D = kT$，其中系数 $k$ 在**有掩护水域**可取 **1.15~1.20**，在**开敞水域**可取 **1.20~1.30** [K1]。
    - **内河**：航道水深 $H$ 由船舶吃水 $T$ 加上**富裕水深** $\Delta H$ 确定（$H = T + \Delta H$），富裕水深 $\Delta H$ 需根据航道等级、船舶类型等从规范表格中选用，通常内河受水流、浅滩等因素影响，富裕水深的确定逻辑与外海的系数法不同 [K3]。
- **深度基准面（测图基准）不同**：
    - **外海（河口与外海）**：测图所载深度基准面为**理论最低潮面** [K8]。
    - **内河**：一般内河测图所载深度基准面为**航行基准面** [K8]。
- **其他影响因素**：
    - **外海**：需考虑当船舶由海域进入河口水域后，**水的密度**变化对船舶吃水的影响 [K5]。
    - **内河**：需考虑**潮汐影响**是否明显（根据多年月平均水位年变幅与多年平均潮差的比值划分），以及**骤淤回淤**规律对备淤深度的影响 [K5][K10]。
您是否想了解内河航道中“备淤深度”的具体取值标准？</t>
        </is>
      </c>
      <c r="H20" s="2" t="inlineStr"/>
      <c r="I20" s="2" t="inlineStr"/>
      <c r="J20" s="2" t="inlineStr"/>
      <c r="K20" s="2" t="inlineStr"/>
    </row>
    <row r="21">
      <c r="A21" s="2" t="inlineStr">
        <is>
          <t>D3</t>
        </is>
      </c>
      <c r="B21" s="2" t="inlineStr">
        <is>
          <t>能力题</t>
        </is>
      </c>
      <c r="C21" s="2" t="inlineStr">
        <is>
          <t>基础的混凝土用多少标号的</t>
        </is>
      </c>
      <c r="D21" s="2" t="inlineStr">
        <is>
          <t>引用上一轮给的基础尺寸前提 + 标号建议</t>
        </is>
      </c>
      <c r="E21" s="2" t="inlineStr">
        <is>
          <t>检索结果中未找到关于“8m立杆基础”这一特定场景下混凝土具体强度等级（标号）的强制性规定或推荐值。
- 证据 K31 指出，素混凝土结构的混凝土强度等级不应低于 C15；钢筋混凝土结构的混凝土强度等级不应低于 C20；采用强度等级 400MPa 及以上的钢筋时，混凝土强度等级不应低于 C25 [K31]。
- 证据 K32 规定，抗震设计中，框支梁、框支柱以及一级抗震等级的框架梁、柱及节点，混凝土强度等级不应低于 C30；其他各类结构构件，不应低于 C20 [K32]。
- 证据 K33 提到，现浇地下连续墙混凝土的标号一般均可达到 C25 ~ C40，且规范对最低标号有提高要求，但这针对的是码头前墙地下连续墙，非通用立杆基础 [K33]。
- 证据 K34 和 K35 规定了水运工程中基于耐久性要求的混凝土最低强度等级，例如海水环境大气区为 C30，淡水环境大气区为 C25，但这针对的是水运工程特定环境，非通用立杆基础 [K34][K35]。
您是否想知道一般建筑工程中混凝土基础常用的强度等级范围？</t>
        </is>
      </c>
      <c r="F21" s="2" t="inlineStr">
        <is>
          <t>没有检索到足够证据支持最终结论。检索结果中主要包含地基承载力修正公式、地基极限承载力计算及航道通航净宽计算等内容，未找到关于“8m立杆基础混凝土标号”的具体规定或推荐值。
以下相关信息供参考：
- 证据中提供了地基容许承载力修正公式 $f_a = f + m_B \gamma_1 (B_e - 3) + m_D \gamma_2 (D - 1.5)$，其中涉及基础有效宽度 $B_e$ 和埋深 $D$ 的修正，但未提及混凝土材料标号 [K2]。
- 证据中包含地基承载力设计值修正公式 $f_d' = f_d + m_B \gamma_1 (B_e' - 3) + m_D \gamma_2 (D - 1.5)$，同样仅涉及地基土参数，未涉及混凝土强度等级 [K1]。
- 证据中包含地基极限承载力计算公式，如 $F_k = B_e [(\pi + 2) S_u (1 + d_{cB} - i_{cB}) + q_k]$ 等，这些公式用于计算地基土的承载能力，与基础混凝土标号无关 [K5]。
- 证据中包含“设备基础费指标”表，列出了不同设备类别（如木工车间、锅炉房等）的基础费用占原价的百分比，但未提供混凝土标号信息。
您是否想知道常见基础混凝土强度等级（如C20、C25、C30）的适用场景？</t>
        </is>
      </c>
      <c r="G21" s="2" t="inlineStr">
        <is>
          <t>检索结果中未找到关于“8m立杆基础混凝土标号”的具体规定，证据主要涉及内河通航净宽计算及内部控制流程，与立杆基础混凝土强度等级无关。
- 内河通航标准中，当横向流速大于0.3m/s时，单向通航净宽增加值需根据航道等级和船舶类型查表确定，例如I级航道4排4列船舶在0.4m/s流速下增加值为30m [K27][K28]。
- 内部控制手册中，谈话函询流程要求拟定谈话方案，由纪委书记或分管领导进行，并制作谈话笔录 [K29]。
您是否想了解船闸基座或码头结构中关于混凝土标号的具体规范要求？</t>
        </is>
      </c>
      <c r="H21" s="2" t="inlineStr"/>
      <c r="I21" s="2" t="inlineStr"/>
      <c r="J21" s="2" t="inlineStr"/>
      <c r="K21" s="2" t="inlineStr"/>
    </row>
    <row r="22">
      <c r="A22" s="2" t="inlineStr">
        <is>
          <t>D4</t>
        </is>
      </c>
      <c r="B22" s="2" t="inlineStr">
        <is>
          <t>对照题</t>
        </is>
      </c>
      <c r="C22" s="2" t="inlineStr">
        <is>
          <t>5000吨级散货船的码头前沿水深富裕高度取值是多少？</t>
        </is>
      </c>
      <c r="D22" s="2" t="inlineStr">
        <is>
          <t>表值 + 出处。**预注册对照题**：历史里没有被引用条款 → 图空 → 护栏生效（臂 3 不移除证据）——预期三臂 prompt 等价，臂 3 不劣化</t>
        </is>
      </c>
      <c r="E22" s="2" t="inlineStr">
        <is>
          <t>没有检索到足够证据支持最终结论。检索结果中未包含《海港总体设计规范》（JTS 165）中关于5000吨级散货船码头前沿水深“龙骨下最小富裕深度”（$Z_1$）的具体数值表格。
以下相关信息供参考：
- 根据《海港总体设计规范》（JTS 165），码头前沿设计水深 $D$ 由设计船型满载吃水 $T$ 和龙骨下总富裕水深构成，其中龙骨下总富裕水深包括与底质有关的龙骨下最小富裕深度 $Z_1$、波浪富裕深度 $Z_2$、船舶配载不均匀尾倾值 $Z_3$ 和回淤备淤深度 $Z_4$ [K2][K5]。
- 规范规定 $Z_1$ 的数值应采用表5.4.12-1中的数值，但本次检索未获取到该表格的具体内容 [K5]。
- 检索到的《河港工程总体设计规范》（JTJ 212）中，5000吨级（载货量4501~7500t）散货船的龙骨下最小富裕深度 $Z$ 可参考该规范表3.4.4选用，但这是河港规范，不适用于海港 [K1]。
- 5000吨级散货船在海港规范中的设计船型满载吃水 $T$ 为 7.0 m [K8]。
您是否想知道如何根据该船的满载吃水（7.0 m）结合其他规范条款估算所需的水深？</t>
        </is>
      </c>
      <c r="F22" s="2" t="inlineStr">
        <is>
          <t>没有检索到足够证据支持最终结论。检索结果中未包含《海港总体设计规范》（JTS 165）中关于5000吨级散货船码头前沿水深“龙骨下最小富裕深度”（$Z_1$）的具体数值表（如表5.4.12-1）。
以下相关信息供参考：
- 根据《海港总体设计规范》（JTS 165），码头前沿设计水深 $D$ 由设计船型满载吃水 $T$ 和龙骨下总富裕水深构成，其中龙骨下总富裕水深包括与底质有关的龙骨下最小富裕深度 $Z_1$、波浪富裕深度 $Z_2$、船舶配载不均匀尾倾值 $Z_3$ 和回淤备淤深度 $Z_4$ [K2][K5]。
- 规范规定，$Z_1$ 的数值应查阅规范中的具体表格（表5.4.12-1），该表格通常根据船舶载重吨级和码头底质类型（如泥、砂、石）给出具体取值 [K5]。
- 检索到的《河港工程总体设计规范》（JTJ 212）中，5000吨级（载重吨4501~7500t）散货船的满载吃水 $T$ 为 7.0 m，其龙骨下最小富裕深度 $Z$ 可按表3.4.4选用，但这是河港规范，不适用于海港 [K1]。
- 检索到的《海港总体设计规范》附录A中，5000吨级散货船的设计船型尺度（满载吃水 $T$）为 7.0 m [K8]。
您是否想知道如何根据码头底质类型确定龙骨下最小富裕深度 $Z_1$ 的取值？</t>
        </is>
      </c>
      <c r="G22" s="2" t="inlineStr">
        <is>
          <t>没有检索到足够证据支持最终结论。检索结果中未包含《海港总体设计规范》（JTS 165）中关于5000吨级散货船码头前沿水深“龙骨下最小富裕深度”（Z1）的具体数值表。
以下相关信息供参考：
- 根据《海港总体设计规范》（JTS 165-2013）第5.4.12条，码头前沿设计水深 $D$ 由设计船型满载吃水 $T$ 和龙骨下总富裕水深构成，其中龙骨下总富裕水深包括：与底质有关的龙骨下最小富裕深度 $Z_1$、波浪富裕深度 $Z_2$、船舶配载不均匀尾倾值 $Z_3$ 和回淤备淤深度 $Z_4$ [K2][K5]。
- 规范规定 $Z_1$ 的数值应采用表5.4.12-1中的数值，但检索结果中未提供该表格的具体内容 [K5]。
- 检索到的《河港工程总体设计规范》（JTJ 212）中，5000吨级（载重吨4501~7500t）散货船的龙骨下最小富裕深度 $Z$ 可按表3.4.4选用，且注说明设计船型载货量大于3000t时 $Z$ 值可适当加大 [K1]。
您是否想了解5000吨级散货船在《海港总体设计规范》中的具体设计船型尺度（如吃水、型宽等）？</t>
        </is>
      </c>
      <c r="H22" s="2" t="inlineStr"/>
      <c r="I22" s="2" t="inlineStr"/>
      <c r="J22" s="2" t="inlineStr"/>
      <c r="K22" s="2" t="inlineStr"/>
    </row>
  </sheetData>
  <autoFilter ref="A1:K22"/>
  <dataValidations count="1">
    <dataValidation sqref="H2:H22 I2:I22 J2:J22" showDropDown="0" showInputMessage="0" showErrorMessage="0" allowBlank="1" type="list">
      <formula1>"对,部分对,错,废"</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7" customWidth="1" min="1" max="1"/>
    <col width="6" customWidth="1" min="2" max="2"/>
    <col width="8" customWidth="1" min="3" max="3"/>
    <col width="26" customWidth="1" min="4" max="4"/>
    <col width="10" customWidth="1" min="5" max="5"/>
    <col width="12" customWidth="1" min="6" max="6"/>
    <col width="30" customWidth="1" min="7" max="7"/>
  </cols>
  <sheetData>
    <row r="1">
      <c r="A1" s="3" t="inlineStr">
        <is>
          <t>题号</t>
        </is>
      </c>
      <c r="B1" s="3" t="inlineStr">
        <is>
          <t>字母</t>
        </is>
      </c>
      <c r="C1" s="3" t="inlineStr">
        <is>
          <t>臂</t>
        </is>
      </c>
      <c r="D1" s="3" t="inlineStr">
        <is>
          <t>会话 id</t>
        </is>
      </c>
      <c r="E1" s="3" t="inlineStr">
        <is>
          <t>答案字数</t>
        </is>
      </c>
      <c r="F1" s="3" t="inlineStr">
        <is>
          <t>tool 字符</t>
        </is>
      </c>
      <c r="G1" s="3" t="inlineStr">
        <is>
          <t>错误</t>
        </is>
      </c>
    </row>
    <row r="2">
      <c r="A2" t="inlineStr">
        <is>
          <t>A1</t>
        </is>
      </c>
      <c r="B2" t="inlineStr">
        <is>
          <t>A</t>
        </is>
      </c>
      <c r="C2" t="inlineStr">
        <is>
          <t>arm1</t>
        </is>
      </c>
      <c r="D2" t="inlineStr">
        <is>
          <t>m0-arm1-A1</t>
        </is>
      </c>
      <c r="E2" t="n">
        <v>495</v>
      </c>
      <c r="F2" t="n">
        <v>218663</v>
      </c>
      <c r="G2" t="inlineStr">
        <is>
          <t>-</t>
        </is>
      </c>
    </row>
    <row r="3">
      <c r="A3" t="inlineStr">
        <is>
          <t>A1</t>
        </is>
      </c>
      <c r="B3" t="inlineStr">
        <is>
          <t>B</t>
        </is>
      </c>
      <c r="C3" t="inlineStr">
        <is>
          <t>arm3</t>
        </is>
      </c>
      <c r="D3" t="inlineStr">
        <is>
          <t>m0-arm3-A1</t>
        </is>
      </c>
      <c r="E3" t="n">
        <v>406</v>
      </c>
      <c r="F3" t="n">
        <v>259614</v>
      </c>
      <c r="G3" t="inlineStr">
        <is>
          <t>-</t>
        </is>
      </c>
    </row>
    <row r="4">
      <c r="A4" t="inlineStr">
        <is>
          <t>A1</t>
        </is>
      </c>
      <c r="B4" t="inlineStr">
        <is>
          <t>C</t>
        </is>
      </c>
      <c r="C4" t="inlineStr">
        <is>
          <t>arm2</t>
        </is>
      </c>
      <c r="D4" t="inlineStr">
        <is>
          <t>m0-arm2-A1</t>
        </is>
      </c>
      <c r="E4" t="n">
        <v>437</v>
      </c>
      <c r="F4" t="n">
        <v>259602</v>
      </c>
      <c r="G4" t="inlineStr">
        <is>
          <t>-</t>
        </is>
      </c>
    </row>
    <row r="5">
      <c r="A5" t="inlineStr">
        <is>
          <t>A2</t>
        </is>
      </c>
      <c r="B5" t="inlineStr">
        <is>
          <t>A</t>
        </is>
      </c>
      <c r="C5" t="inlineStr">
        <is>
          <t>arm3</t>
        </is>
      </c>
      <c r="D5" t="inlineStr">
        <is>
          <t>m0-arm3-A2</t>
        </is>
      </c>
      <c r="E5" t="n">
        <v>1459</v>
      </c>
      <c r="F5" t="n">
        <v>233588</v>
      </c>
      <c r="G5" t="inlineStr">
        <is>
          <t>-</t>
        </is>
      </c>
    </row>
    <row r="6">
      <c r="A6" t="inlineStr">
        <is>
          <t>A2</t>
        </is>
      </c>
      <c r="B6" t="inlineStr">
        <is>
          <t>B</t>
        </is>
      </c>
      <c r="C6" t="inlineStr">
        <is>
          <t>arm1</t>
        </is>
      </c>
      <c r="D6" t="inlineStr">
        <is>
          <t>m0-arm1-A2</t>
        </is>
      </c>
      <c r="E6" t="n">
        <v>238</v>
      </c>
      <c r="F6" t="n">
        <v>261658</v>
      </c>
      <c r="G6" t="inlineStr">
        <is>
          <t>-</t>
        </is>
      </c>
    </row>
    <row r="7">
      <c r="A7" t="inlineStr">
        <is>
          <t>A2</t>
        </is>
      </c>
      <c r="B7" t="inlineStr">
        <is>
          <t>C</t>
        </is>
      </c>
      <c r="C7" t="inlineStr">
        <is>
          <t>arm2</t>
        </is>
      </c>
      <c r="D7" t="inlineStr">
        <is>
          <t>m0-arm2-A2</t>
        </is>
      </c>
      <c r="E7" t="n">
        <v>1085</v>
      </c>
      <c r="F7" t="n">
        <v>285772</v>
      </c>
      <c r="G7" t="inlineStr">
        <is>
          <t>-</t>
        </is>
      </c>
    </row>
    <row r="8">
      <c r="A8" t="inlineStr">
        <is>
          <t>A3</t>
        </is>
      </c>
      <c r="B8" t="inlineStr">
        <is>
          <t>A</t>
        </is>
      </c>
      <c r="C8" t="inlineStr">
        <is>
          <t>arm2</t>
        </is>
      </c>
      <c r="D8" t="inlineStr">
        <is>
          <t>m0-arm2-A3</t>
        </is>
      </c>
      <c r="E8" t="n">
        <v>942</v>
      </c>
      <c r="F8" t="n">
        <v>298581</v>
      </c>
      <c r="G8" t="inlineStr">
        <is>
          <t>-</t>
        </is>
      </c>
    </row>
    <row r="9">
      <c r="A9" t="inlineStr">
        <is>
          <t>A3</t>
        </is>
      </c>
      <c r="B9" t="inlineStr">
        <is>
          <t>B</t>
        </is>
      </c>
      <c r="C9" t="inlineStr">
        <is>
          <t>arm3</t>
        </is>
      </c>
      <c r="D9" t="inlineStr">
        <is>
          <t>m0-arm3-A3</t>
        </is>
      </c>
      <c r="E9" t="n">
        <v>793</v>
      </c>
      <c r="F9" t="n">
        <v>269353</v>
      </c>
      <c r="G9" t="inlineStr">
        <is>
          <t>-</t>
        </is>
      </c>
    </row>
    <row r="10">
      <c r="A10" t="inlineStr">
        <is>
          <t>A3</t>
        </is>
      </c>
      <c r="B10" t="inlineStr">
        <is>
          <t>C</t>
        </is>
      </c>
      <c r="C10" t="inlineStr">
        <is>
          <t>arm1</t>
        </is>
      </c>
      <c r="D10" t="inlineStr">
        <is>
          <t>m0-arm1-A3</t>
        </is>
      </c>
      <c r="E10" t="n">
        <v>958</v>
      </c>
      <c r="F10" t="n">
        <v>298592</v>
      </c>
      <c r="G10" t="inlineStr">
        <is>
          <t>-</t>
        </is>
      </c>
    </row>
    <row r="11">
      <c r="A11" t="inlineStr">
        <is>
          <t>A4</t>
        </is>
      </c>
      <c r="B11" t="inlineStr">
        <is>
          <t>A</t>
        </is>
      </c>
      <c r="C11" t="inlineStr">
        <is>
          <t>arm2</t>
        </is>
      </c>
      <c r="D11" t="inlineStr">
        <is>
          <t>m0-arm2-A4</t>
        </is>
      </c>
      <c r="E11" t="n">
        <v>1639</v>
      </c>
      <c r="F11" t="n">
        <v>394967</v>
      </c>
      <c r="G11" t="inlineStr">
        <is>
          <t>-</t>
        </is>
      </c>
    </row>
    <row r="12">
      <c r="A12" t="inlineStr">
        <is>
          <t>A4</t>
        </is>
      </c>
      <c r="B12" t="inlineStr">
        <is>
          <t>B</t>
        </is>
      </c>
      <c r="C12" t="inlineStr">
        <is>
          <t>arm3</t>
        </is>
      </c>
      <c r="D12" t="inlineStr">
        <is>
          <t>m0-arm3-A4</t>
        </is>
      </c>
      <c r="E12" t="n">
        <v>1480</v>
      </c>
      <c r="F12" t="n">
        <v>334283</v>
      </c>
      <c r="G12" t="inlineStr">
        <is>
          <t>-</t>
        </is>
      </c>
    </row>
    <row r="13">
      <c r="A13" t="inlineStr">
        <is>
          <t>A4</t>
        </is>
      </c>
      <c r="B13" t="inlineStr">
        <is>
          <t>C</t>
        </is>
      </c>
      <c r="C13" t="inlineStr">
        <is>
          <t>arm1</t>
        </is>
      </c>
      <c r="D13" t="inlineStr">
        <is>
          <t>m0-arm1-A4</t>
        </is>
      </c>
      <c r="E13" t="n">
        <v>1540</v>
      </c>
      <c r="F13" t="n">
        <v>363518</v>
      </c>
      <c r="G13" t="inlineStr">
        <is>
          <t>-</t>
        </is>
      </c>
    </row>
    <row r="14">
      <c r="A14" t="inlineStr">
        <is>
          <t>A5</t>
        </is>
      </c>
      <c r="B14" t="inlineStr">
        <is>
          <t>A</t>
        </is>
      </c>
      <c r="C14" t="inlineStr">
        <is>
          <t>arm1</t>
        </is>
      </c>
      <c r="D14" t="inlineStr">
        <is>
          <t>m0-arm1-A5</t>
        </is>
      </c>
      <c r="E14" t="n">
        <v>508</v>
      </c>
      <c r="F14" t="n">
        <v>194324</v>
      </c>
      <c r="G14" t="inlineStr">
        <is>
          <t>-</t>
        </is>
      </c>
    </row>
    <row r="15">
      <c r="A15" t="inlineStr">
        <is>
          <t>A5</t>
        </is>
      </c>
      <c r="B15" t="inlineStr">
        <is>
          <t>B</t>
        </is>
      </c>
      <c r="C15" t="inlineStr">
        <is>
          <t>arm2</t>
        </is>
      </c>
      <c r="D15" t="inlineStr">
        <is>
          <t>m0-arm2-A5</t>
        </is>
      </c>
      <c r="E15" t="n">
        <v>454</v>
      </c>
      <c r="F15" t="n">
        <v>194324</v>
      </c>
      <c r="G15" t="inlineStr">
        <is>
          <t>-</t>
        </is>
      </c>
    </row>
    <row r="16">
      <c r="A16" t="inlineStr">
        <is>
          <t>A5</t>
        </is>
      </c>
      <c r="B16" t="inlineStr">
        <is>
          <t>C</t>
        </is>
      </c>
      <c r="C16" t="inlineStr">
        <is>
          <t>arm3</t>
        </is>
      </c>
      <c r="D16" t="inlineStr">
        <is>
          <t>m0-arm3-A5</t>
        </is>
      </c>
      <c r="E16" t="n">
        <v>835</v>
      </c>
      <c r="F16" t="n">
        <v>194183</v>
      </c>
      <c r="G16" t="inlineStr">
        <is>
          <t>-</t>
        </is>
      </c>
    </row>
    <row r="17">
      <c r="A17" t="inlineStr">
        <is>
          <t>A6</t>
        </is>
      </c>
      <c r="B17" t="inlineStr">
        <is>
          <t>A</t>
        </is>
      </c>
      <c r="C17" t="inlineStr">
        <is>
          <t>arm1</t>
        </is>
      </c>
      <c r="D17" t="inlineStr">
        <is>
          <t>m0-arm1-A6</t>
        </is>
      </c>
      <c r="E17" t="n">
        <v>380</v>
      </c>
      <c r="F17" t="n">
        <v>120076</v>
      </c>
      <c r="G17" t="inlineStr">
        <is>
          <t>-</t>
        </is>
      </c>
    </row>
    <row r="18">
      <c r="A18" t="inlineStr">
        <is>
          <t>A6</t>
        </is>
      </c>
      <c r="B18" t="inlineStr">
        <is>
          <t>B</t>
        </is>
      </c>
      <c r="C18" t="inlineStr">
        <is>
          <t>arm2</t>
        </is>
      </c>
      <c r="D18" t="inlineStr">
        <is>
          <t>m0-arm2-A6</t>
        </is>
      </c>
      <c r="E18" t="n">
        <v>415</v>
      </c>
      <c r="F18" t="n">
        <v>120065</v>
      </c>
      <c r="G18" t="inlineStr">
        <is>
          <t>-</t>
        </is>
      </c>
    </row>
    <row r="19">
      <c r="A19" t="inlineStr">
        <is>
          <t>A6</t>
        </is>
      </c>
      <c r="B19" t="inlineStr">
        <is>
          <t>C</t>
        </is>
      </c>
      <c r="C19" t="inlineStr">
        <is>
          <t>arm3</t>
        </is>
      </c>
      <c r="D19" t="inlineStr">
        <is>
          <t>m0-arm3-A6</t>
        </is>
      </c>
      <c r="E19" t="n">
        <v>645</v>
      </c>
      <c r="F19" t="n">
        <v>120065</v>
      </c>
      <c r="G19" t="inlineStr">
        <is>
          <t>-</t>
        </is>
      </c>
    </row>
    <row r="20">
      <c r="A20" t="inlineStr">
        <is>
          <t>A7</t>
        </is>
      </c>
      <c r="B20" t="inlineStr">
        <is>
          <t>A</t>
        </is>
      </c>
      <c r="C20" t="inlineStr">
        <is>
          <t>arm1</t>
        </is>
      </c>
      <c r="D20" t="inlineStr">
        <is>
          <t>m0-arm1-A7</t>
        </is>
      </c>
      <c r="E20" t="n">
        <v>297</v>
      </c>
      <c r="F20" t="n">
        <v>118345</v>
      </c>
      <c r="G20" t="inlineStr">
        <is>
          <t>-</t>
        </is>
      </c>
    </row>
    <row r="21">
      <c r="A21" t="inlineStr">
        <is>
          <t>A7</t>
        </is>
      </c>
      <c r="B21" t="inlineStr">
        <is>
          <t>B</t>
        </is>
      </c>
      <c r="C21" t="inlineStr">
        <is>
          <t>arm2</t>
        </is>
      </c>
      <c r="D21" t="inlineStr">
        <is>
          <t>m0-arm2-A7</t>
        </is>
      </c>
      <c r="E21" t="n">
        <v>363</v>
      </c>
      <c r="F21" t="n">
        <v>118345</v>
      </c>
      <c r="G21" t="inlineStr">
        <is>
          <t>-</t>
        </is>
      </c>
    </row>
    <row r="22">
      <c r="A22" t="inlineStr">
        <is>
          <t>A7</t>
        </is>
      </c>
      <c r="B22" t="inlineStr">
        <is>
          <t>C</t>
        </is>
      </c>
      <c r="C22" t="inlineStr">
        <is>
          <t>arm3</t>
        </is>
      </c>
      <c r="D22" t="inlineStr">
        <is>
          <t>m0-arm3-A7</t>
        </is>
      </c>
      <c r="E22" t="n">
        <v>344</v>
      </c>
      <c r="F22" t="n">
        <v>118345</v>
      </c>
      <c r="G22" t="inlineStr">
        <is>
          <t>-</t>
        </is>
      </c>
    </row>
    <row r="23">
      <c r="A23" t="inlineStr">
        <is>
          <t>B1</t>
        </is>
      </c>
      <c r="B23" t="inlineStr">
        <is>
          <t>A</t>
        </is>
      </c>
      <c r="C23" t="inlineStr">
        <is>
          <t>arm1</t>
        </is>
      </c>
      <c r="D23" t="inlineStr">
        <is>
          <t>m0-arm1-B1</t>
        </is>
      </c>
      <c r="E23" t="n">
        <v>60</v>
      </c>
      <c r="F23" t="n">
        <v>28617</v>
      </c>
      <c r="G23" t="inlineStr">
        <is>
          <t>-</t>
        </is>
      </c>
    </row>
    <row r="24">
      <c r="A24" t="inlineStr">
        <is>
          <t>B1</t>
        </is>
      </c>
      <c r="B24" t="inlineStr">
        <is>
          <t>B</t>
        </is>
      </c>
      <c r="C24" t="inlineStr">
        <is>
          <t>arm2</t>
        </is>
      </c>
      <c r="D24" t="inlineStr">
        <is>
          <t>m0-arm2-B1</t>
        </is>
      </c>
      <c r="E24" t="n">
        <v>60</v>
      </c>
      <c r="F24" t="n">
        <v>28617</v>
      </c>
      <c r="G24" t="inlineStr">
        <is>
          <t>-</t>
        </is>
      </c>
    </row>
    <row r="25">
      <c r="A25" t="inlineStr">
        <is>
          <t>B1</t>
        </is>
      </c>
      <c r="B25" t="inlineStr">
        <is>
          <t>C</t>
        </is>
      </c>
      <c r="C25" t="inlineStr">
        <is>
          <t>arm3</t>
        </is>
      </c>
      <c r="D25" t="inlineStr">
        <is>
          <t>m0-arm3-B1</t>
        </is>
      </c>
      <c r="E25" t="n">
        <v>60</v>
      </c>
      <c r="F25" t="n">
        <v>28617</v>
      </c>
      <c r="G25" t="inlineStr">
        <is>
          <t>-</t>
        </is>
      </c>
    </row>
    <row r="26">
      <c r="A26" t="inlineStr">
        <is>
          <t>B2</t>
        </is>
      </c>
      <c r="B26" t="inlineStr">
        <is>
          <t>A</t>
        </is>
      </c>
      <c r="C26" t="inlineStr">
        <is>
          <t>arm1</t>
        </is>
      </c>
      <c r="D26" t="inlineStr">
        <is>
          <t>m0-arm1-B2</t>
        </is>
      </c>
      <c r="E26" t="n">
        <v>899</v>
      </c>
      <c r="F26" t="n">
        <v>57129</v>
      </c>
      <c r="G26" t="inlineStr">
        <is>
          <t>-</t>
        </is>
      </c>
    </row>
    <row r="27">
      <c r="A27" t="inlineStr">
        <is>
          <t>B2</t>
        </is>
      </c>
      <c r="B27" t="inlineStr">
        <is>
          <t>B</t>
        </is>
      </c>
      <c r="C27" t="inlineStr">
        <is>
          <t>arm2</t>
        </is>
      </c>
      <c r="D27" t="inlineStr">
        <is>
          <t>m0-arm2-B2</t>
        </is>
      </c>
      <c r="E27" t="n">
        <v>3070</v>
      </c>
      <c r="F27" t="n">
        <v>57131</v>
      </c>
      <c r="G27" t="inlineStr">
        <is>
          <t>-</t>
        </is>
      </c>
    </row>
    <row r="28">
      <c r="A28" t="inlineStr">
        <is>
          <t>B2</t>
        </is>
      </c>
      <c r="B28" t="inlineStr">
        <is>
          <t>C</t>
        </is>
      </c>
      <c r="C28" t="inlineStr">
        <is>
          <t>arm3</t>
        </is>
      </c>
      <c r="D28" t="inlineStr">
        <is>
          <t>m0-arm3-B2</t>
        </is>
      </c>
      <c r="E28" t="n">
        <v>47</v>
      </c>
      <c r="F28" t="n">
        <v>92356</v>
      </c>
      <c r="G28" t="inlineStr">
        <is>
          <t>-</t>
        </is>
      </c>
    </row>
    <row r="29">
      <c r="A29" t="inlineStr">
        <is>
          <t>B3</t>
        </is>
      </c>
      <c r="B29" t="inlineStr">
        <is>
          <t>A</t>
        </is>
      </c>
      <c r="C29" t="inlineStr">
        <is>
          <t>arm2</t>
        </is>
      </c>
      <c r="D29" t="inlineStr">
        <is>
          <t>m0-arm2-B3</t>
        </is>
      </c>
      <c r="E29" t="n">
        <v>120</v>
      </c>
      <c r="F29" t="n">
        <v>65939</v>
      </c>
      <c r="G29" t="inlineStr">
        <is>
          <t>-</t>
        </is>
      </c>
    </row>
    <row r="30">
      <c r="A30" t="inlineStr">
        <is>
          <t>B3</t>
        </is>
      </c>
      <c r="B30" t="inlineStr">
        <is>
          <t>B</t>
        </is>
      </c>
      <c r="C30" t="inlineStr">
        <is>
          <t>arm3</t>
        </is>
      </c>
      <c r="D30" t="inlineStr">
        <is>
          <t>m0-arm3-B3</t>
        </is>
      </c>
      <c r="E30" t="n">
        <v>76</v>
      </c>
      <c r="F30" t="n">
        <v>101166</v>
      </c>
      <c r="G30" t="inlineStr">
        <is>
          <t>-</t>
        </is>
      </c>
    </row>
    <row r="31">
      <c r="A31" t="inlineStr">
        <is>
          <t>B3</t>
        </is>
      </c>
      <c r="B31" t="inlineStr">
        <is>
          <t>C</t>
        </is>
      </c>
      <c r="C31" t="inlineStr">
        <is>
          <t>arm1</t>
        </is>
      </c>
      <c r="D31" t="inlineStr">
        <is>
          <t>m0-arm1-B3</t>
        </is>
      </c>
      <c r="E31" t="n">
        <v>121</v>
      </c>
      <c r="F31" t="n">
        <v>65940</v>
      </c>
      <c r="G31" t="inlineStr">
        <is>
          <t>-</t>
        </is>
      </c>
    </row>
    <row r="32">
      <c r="A32" t="inlineStr">
        <is>
          <t>B4</t>
        </is>
      </c>
      <c r="B32" t="inlineStr">
        <is>
          <t>A</t>
        </is>
      </c>
      <c r="C32" t="inlineStr">
        <is>
          <t>arm3</t>
        </is>
      </c>
      <c r="D32" t="inlineStr">
        <is>
          <t>m0-arm3-B4</t>
        </is>
      </c>
      <c r="E32" t="n">
        <v>105</v>
      </c>
      <c r="F32" t="n">
        <v>446600</v>
      </c>
      <c r="G32" t="inlineStr">
        <is>
          <t>-</t>
        </is>
      </c>
    </row>
    <row r="33">
      <c r="A33" t="inlineStr">
        <is>
          <t>B4</t>
        </is>
      </c>
      <c r="B33" t="inlineStr">
        <is>
          <t>B</t>
        </is>
      </c>
      <c r="C33" t="inlineStr">
        <is>
          <t>arm2</t>
        </is>
      </c>
      <c r="D33" t="inlineStr">
        <is>
          <t>m0-arm2-B4</t>
        </is>
      </c>
      <c r="E33" t="n">
        <v>444</v>
      </c>
      <c r="F33" t="n">
        <v>379622</v>
      </c>
      <c r="G33" t="inlineStr">
        <is>
          <t>-</t>
        </is>
      </c>
    </row>
    <row r="34">
      <c r="A34" t="inlineStr">
        <is>
          <t>B4</t>
        </is>
      </c>
      <c r="B34" t="inlineStr">
        <is>
          <t>C</t>
        </is>
      </c>
      <c r="C34" t="inlineStr">
        <is>
          <t>arm1</t>
        </is>
      </c>
      <c r="D34" t="inlineStr">
        <is>
          <t>m0-arm1-B4</t>
        </is>
      </c>
      <c r="E34" t="n">
        <v>105</v>
      </c>
      <c r="F34" t="n">
        <v>447074</v>
      </c>
      <c r="G34" t="inlineStr">
        <is>
          <t>-</t>
        </is>
      </c>
    </row>
    <row r="35">
      <c r="A35" t="inlineStr">
        <is>
          <t>C1</t>
        </is>
      </c>
      <c r="B35" t="inlineStr">
        <is>
          <t>A</t>
        </is>
      </c>
      <c r="C35" t="inlineStr">
        <is>
          <t>arm1</t>
        </is>
      </c>
      <c r="D35" t="inlineStr">
        <is>
          <t>m0-arm1-C1</t>
        </is>
      </c>
      <c r="E35" t="n">
        <v>860</v>
      </c>
      <c r="F35" t="n">
        <v>176156</v>
      </c>
      <c r="G35" t="inlineStr">
        <is>
          <t>-</t>
        </is>
      </c>
    </row>
    <row r="36">
      <c r="A36" t="inlineStr">
        <is>
          <t>C1</t>
        </is>
      </c>
      <c r="B36" t="inlineStr">
        <is>
          <t>B</t>
        </is>
      </c>
      <c r="C36" t="inlineStr">
        <is>
          <t>arm3</t>
        </is>
      </c>
      <c r="D36" t="inlineStr">
        <is>
          <t>m0-arm3-C1</t>
        </is>
      </c>
      <c r="E36" t="n">
        <v>438</v>
      </c>
      <c r="F36" t="n">
        <v>208629</v>
      </c>
      <c r="G36" t="inlineStr">
        <is>
          <t>-</t>
        </is>
      </c>
    </row>
    <row r="37">
      <c r="A37" t="inlineStr">
        <is>
          <t>C1</t>
        </is>
      </c>
      <c r="B37" t="inlineStr">
        <is>
          <t>C</t>
        </is>
      </c>
      <c r="C37" t="inlineStr">
        <is>
          <t>arm2</t>
        </is>
      </c>
      <c r="D37" t="inlineStr">
        <is>
          <t>m0-arm2-C1</t>
        </is>
      </c>
      <c r="E37" t="n">
        <v>401</v>
      </c>
      <c r="F37" t="n">
        <v>176156</v>
      </c>
      <c r="G37" t="inlineStr">
        <is>
          <t>-</t>
        </is>
      </c>
    </row>
    <row r="38">
      <c r="A38" t="inlineStr">
        <is>
          <t>C2</t>
        </is>
      </c>
      <c r="B38" t="inlineStr">
        <is>
          <t>A</t>
        </is>
      </c>
      <c r="C38" t="inlineStr">
        <is>
          <t>arm1</t>
        </is>
      </c>
      <c r="D38" t="inlineStr">
        <is>
          <t>m0-arm1-C2</t>
        </is>
      </c>
      <c r="E38" t="n">
        <v>1210</v>
      </c>
      <c r="F38" t="n">
        <v>96740</v>
      </c>
      <c r="G38" t="inlineStr">
        <is>
          <t>-</t>
        </is>
      </c>
    </row>
    <row r="39">
      <c r="A39" t="inlineStr">
        <is>
          <t>C2</t>
        </is>
      </c>
      <c r="B39" t="inlineStr">
        <is>
          <t>B</t>
        </is>
      </c>
      <c r="C39" t="inlineStr">
        <is>
          <t>arm3</t>
        </is>
      </c>
      <c r="D39" t="inlineStr">
        <is>
          <t>m0-arm3-C2</t>
        </is>
      </c>
      <c r="E39" t="n">
        <v>549</v>
      </c>
      <c r="F39" t="n">
        <v>96735</v>
      </c>
      <c r="G39" t="inlineStr">
        <is>
          <t>-</t>
        </is>
      </c>
    </row>
    <row r="40">
      <c r="A40" t="inlineStr">
        <is>
          <t>C2</t>
        </is>
      </c>
      <c r="B40" t="inlineStr">
        <is>
          <t>C</t>
        </is>
      </c>
      <c r="C40" t="inlineStr">
        <is>
          <t>arm2</t>
        </is>
      </c>
      <c r="D40" t="inlineStr">
        <is>
          <t>m0-arm2-C2</t>
        </is>
      </c>
      <c r="E40" t="n">
        <v>1584</v>
      </c>
      <c r="F40" t="n">
        <v>96740</v>
      </c>
      <c r="G40" t="inlineStr">
        <is>
          <t>-</t>
        </is>
      </c>
    </row>
    <row r="41">
      <c r="A41" t="inlineStr">
        <is>
          <t>C3</t>
        </is>
      </c>
      <c r="B41" t="inlineStr">
        <is>
          <t>A</t>
        </is>
      </c>
      <c r="C41" t="inlineStr">
        <is>
          <t>arm1</t>
        </is>
      </c>
      <c r="D41" t="inlineStr">
        <is>
          <t>m0-arm1-C3</t>
        </is>
      </c>
      <c r="E41" t="n">
        <v>282</v>
      </c>
      <c r="F41" t="n">
        <v>194937</v>
      </c>
      <c r="G41" t="inlineStr">
        <is>
          <t>-</t>
        </is>
      </c>
    </row>
    <row r="42">
      <c r="A42" t="inlineStr">
        <is>
          <t>C3</t>
        </is>
      </c>
      <c r="B42" t="inlineStr">
        <is>
          <t>B</t>
        </is>
      </c>
      <c r="C42" t="inlineStr">
        <is>
          <t>arm3</t>
        </is>
      </c>
      <c r="D42" t="inlineStr">
        <is>
          <t>m0-arm3-C3</t>
        </is>
      </c>
      <c r="E42" t="n">
        <v>281</v>
      </c>
      <c r="F42" t="n">
        <v>194937</v>
      </c>
      <c r="G42" t="inlineStr">
        <is>
          <t>-</t>
        </is>
      </c>
    </row>
    <row r="43">
      <c r="A43" t="inlineStr">
        <is>
          <t>C3</t>
        </is>
      </c>
      <c r="B43" t="inlineStr">
        <is>
          <t>C</t>
        </is>
      </c>
      <c r="C43" t="inlineStr">
        <is>
          <t>arm2</t>
        </is>
      </c>
      <c r="D43" t="inlineStr">
        <is>
          <t>m0-arm2-C3</t>
        </is>
      </c>
      <c r="E43" t="n">
        <v>317</v>
      </c>
      <c r="F43" t="n">
        <v>194937</v>
      </c>
      <c r="G43" t="inlineStr">
        <is>
          <t>-</t>
        </is>
      </c>
    </row>
    <row r="44">
      <c r="A44" t="inlineStr">
        <is>
          <t>C4</t>
        </is>
      </c>
      <c r="B44" t="inlineStr">
        <is>
          <t>A</t>
        </is>
      </c>
      <c r="C44" t="inlineStr">
        <is>
          <t>arm2</t>
        </is>
      </c>
      <c r="D44" t="inlineStr">
        <is>
          <t>m0-arm2-C4</t>
        </is>
      </c>
      <c r="E44" t="n">
        <v>938</v>
      </c>
      <c r="F44" t="n">
        <v>261625</v>
      </c>
      <c r="G44" t="inlineStr">
        <is>
          <t>-</t>
        </is>
      </c>
    </row>
    <row r="45">
      <c r="A45" t="inlineStr">
        <is>
          <t>C4</t>
        </is>
      </c>
      <c r="B45" t="inlineStr">
        <is>
          <t>B</t>
        </is>
      </c>
      <c r="C45" t="inlineStr">
        <is>
          <t>arm3</t>
        </is>
      </c>
      <c r="D45" t="inlineStr">
        <is>
          <t>m0-arm3-C4</t>
        </is>
      </c>
      <c r="E45" t="n">
        <v>1095</v>
      </c>
      <c r="F45" t="n">
        <v>261473</v>
      </c>
      <c r="G45" t="inlineStr">
        <is>
          <t>-</t>
        </is>
      </c>
    </row>
    <row r="46">
      <c r="A46" t="inlineStr">
        <is>
          <t>C4</t>
        </is>
      </c>
      <c r="B46" t="inlineStr">
        <is>
          <t>C</t>
        </is>
      </c>
      <c r="C46" t="inlineStr">
        <is>
          <t>arm1</t>
        </is>
      </c>
      <c r="D46" t="inlineStr">
        <is>
          <t>m0-arm1-C4</t>
        </is>
      </c>
      <c r="E46" t="n">
        <v>1000</v>
      </c>
      <c r="F46" t="n">
        <v>261471</v>
      </c>
      <c r="G46" t="inlineStr">
        <is>
          <t>-</t>
        </is>
      </c>
    </row>
    <row r="47">
      <c r="A47" t="inlineStr">
        <is>
          <t>C5</t>
        </is>
      </c>
      <c r="B47" t="inlineStr">
        <is>
          <t>A</t>
        </is>
      </c>
      <c r="C47" t="inlineStr">
        <is>
          <t>arm2</t>
        </is>
      </c>
      <c r="D47" t="inlineStr">
        <is>
          <t>m0-arm2-C5</t>
        </is>
      </c>
      <c r="E47" t="n">
        <v>984</v>
      </c>
      <c r="F47" t="n">
        <v>473284</v>
      </c>
      <c r="G47" t="inlineStr">
        <is>
          <t>-</t>
        </is>
      </c>
    </row>
    <row r="48">
      <c r="A48" t="inlineStr">
        <is>
          <t>C5</t>
        </is>
      </c>
      <c r="B48" t="inlineStr">
        <is>
          <t>B</t>
        </is>
      </c>
      <c r="C48" t="inlineStr">
        <is>
          <t>arm3</t>
        </is>
      </c>
      <c r="D48" t="inlineStr">
        <is>
          <t>m0-arm3-C5</t>
        </is>
      </c>
      <c r="E48" t="n">
        <v>745</v>
      </c>
      <c r="F48" t="n">
        <v>480792</v>
      </c>
      <c r="G48" t="inlineStr">
        <is>
          <t>-</t>
        </is>
      </c>
    </row>
    <row r="49">
      <c r="A49" t="inlineStr">
        <is>
          <t>C5</t>
        </is>
      </c>
      <c r="B49" t="inlineStr">
        <is>
          <t>C</t>
        </is>
      </c>
      <c r="C49" t="inlineStr">
        <is>
          <t>arm1</t>
        </is>
      </c>
      <c r="D49" t="inlineStr">
        <is>
          <t>m0-arm1-C5</t>
        </is>
      </c>
      <c r="E49" t="n">
        <v>540</v>
      </c>
      <c r="F49" t="n">
        <v>515951</v>
      </c>
      <c r="G49" t="inlineStr">
        <is>
          <t>-</t>
        </is>
      </c>
    </row>
    <row r="50">
      <c r="A50" t="inlineStr">
        <is>
          <t>C6</t>
        </is>
      </c>
      <c r="B50" t="inlineStr">
        <is>
          <t>A</t>
        </is>
      </c>
      <c r="C50" t="inlineStr">
        <is>
          <t>arm1</t>
        </is>
      </c>
      <c r="D50" t="inlineStr">
        <is>
          <t>m0-arm1-C6</t>
        </is>
      </c>
      <c r="E50" t="n">
        <v>443</v>
      </c>
      <c r="F50" t="n">
        <v>25798</v>
      </c>
      <c r="G50" t="inlineStr">
        <is>
          <t>-</t>
        </is>
      </c>
    </row>
    <row r="51">
      <c r="A51" t="inlineStr">
        <is>
          <t>C6</t>
        </is>
      </c>
      <c r="B51" t="inlineStr">
        <is>
          <t>B</t>
        </is>
      </c>
      <c r="C51" t="inlineStr">
        <is>
          <t>arm3</t>
        </is>
      </c>
      <c r="D51" t="inlineStr">
        <is>
          <t>m0-arm3-C6</t>
        </is>
      </c>
      <c r="E51" t="n">
        <v>443</v>
      </c>
      <c r="F51" t="n">
        <v>25798</v>
      </c>
      <c r="G51" t="inlineStr">
        <is>
          <t>-</t>
        </is>
      </c>
    </row>
    <row r="52">
      <c r="A52" t="inlineStr">
        <is>
          <t>C6</t>
        </is>
      </c>
      <c r="B52" t="inlineStr">
        <is>
          <t>C</t>
        </is>
      </c>
      <c r="C52" t="inlineStr">
        <is>
          <t>arm2</t>
        </is>
      </c>
      <c r="D52" t="inlineStr">
        <is>
          <t>m0-arm2-C6</t>
        </is>
      </c>
      <c r="E52" t="n">
        <v>443</v>
      </c>
      <c r="F52" t="n">
        <v>25798</v>
      </c>
      <c r="G52" t="inlineStr">
        <is>
          <t>-</t>
        </is>
      </c>
    </row>
    <row r="53">
      <c r="A53" t="inlineStr">
        <is>
          <t>D1</t>
        </is>
      </c>
      <c r="B53" t="inlineStr">
        <is>
          <t>A</t>
        </is>
      </c>
      <c r="C53" t="inlineStr">
        <is>
          <t>arm1</t>
        </is>
      </c>
      <c r="D53" t="inlineStr">
        <is>
          <t>m0-arm1-D1</t>
        </is>
      </c>
      <c r="E53" t="n">
        <v>503</v>
      </c>
      <c r="F53" t="n">
        <v>79225</v>
      </c>
      <c r="G53" t="inlineStr">
        <is>
          <t>-</t>
        </is>
      </c>
    </row>
    <row r="54">
      <c r="A54" t="inlineStr">
        <is>
          <t>D1</t>
        </is>
      </c>
      <c r="B54" t="inlineStr">
        <is>
          <t>B</t>
        </is>
      </c>
      <c r="C54" t="inlineStr">
        <is>
          <t>arm2</t>
        </is>
      </c>
      <c r="D54" t="inlineStr">
        <is>
          <t>m0-arm2-D1</t>
        </is>
      </c>
      <c r="E54" t="n">
        <v>527</v>
      </c>
      <c r="F54" t="n">
        <v>79225</v>
      </c>
      <c r="G54" t="inlineStr">
        <is>
          <t>-</t>
        </is>
      </c>
    </row>
    <row r="55">
      <c r="A55" t="inlineStr">
        <is>
          <t>D1</t>
        </is>
      </c>
      <c r="B55" t="inlineStr">
        <is>
          <t>C</t>
        </is>
      </c>
      <c r="C55" t="inlineStr">
        <is>
          <t>arm3</t>
        </is>
      </c>
      <c r="D55" t="inlineStr">
        <is>
          <t>m0-arm3-D1</t>
        </is>
      </c>
      <c r="E55" t="n">
        <v>457</v>
      </c>
      <c r="F55" t="n">
        <v>79225</v>
      </c>
      <c r="G55" t="inlineStr">
        <is>
          <t>-</t>
        </is>
      </c>
    </row>
    <row r="56">
      <c r="A56" t="inlineStr">
        <is>
          <t>D2</t>
        </is>
      </c>
      <c r="B56" t="inlineStr">
        <is>
          <t>A</t>
        </is>
      </c>
      <c r="C56" t="inlineStr">
        <is>
          <t>arm2</t>
        </is>
      </c>
      <c r="D56" t="inlineStr">
        <is>
          <t>m0-arm2-D2</t>
        </is>
      </c>
      <c r="E56" t="n">
        <v>665</v>
      </c>
      <c r="F56" t="n">
        <v>75206</v>
      </c>
      <c r="G56" t="inlineStr">
        <is>
          <t>-</t>
        </is>
      </c>
    </row>
    <row r="57">
      <c r="A57" t="inlineStr">
        <is>
          <t>D2</t>
        </is>
      </c>
      <c r="B57" t="inlineStr">
        <is>
          <t>B</t>
        </is>
      </c>
      <c r="C57" t="inlineStr">
        <is>
          <t>arm3</t>
        </is>
      </c>
      <c r="D57" t="inlineStr">
        <is>
          <t>m0-arm3-D2</t>
        </is>
      </c>
      <c r="E57" t="n">
        <v>849</v>
      </c>
      <c r="F57" t="n">
        <v>75205</v>
      </c>
      <c r="G57" t="inlineStr">
        <is>
          <t>-</t>
        </is>
      </c>
    </row>
    <row r="58">
      <c r="A58" t="inlineStr">
        <is>
          <t>D2</t>
        </is>
      </c>
      <c r="B58" t="inlineStr">
        <is>
          <t>C</t>
        </is>
      </c>
      <c r="C58" t="inlineStr">
        <is>
          <t>arm1</t>
        </is>
      </c>
      <c r="D58" t="inlineStr">
        <is>
          <t>m0-arm1-D2</t>
        </is>
      </c>
      <c r="E58" t="n">
        <v>868</v>
      </c>
      <c r="F58" t="n">
        <v>75206</v>
      </c>
      <c r="G58" t="inlineStr">
        <is>
          <t>-</t>
        </is>
      </c>
    </row>
    <row r="59">
      <c r="A59" t="inlineStr">
        <is>
          <t>D3</t>
        </is>
      </c>
      <c r="B59" t="inlineStr">
        <is>
          <t>A</t>
        </is>
      </c>
      <c r="C59" t="inlineStr">
        <is>
          <t>arm2</t>
        </is>
      </c>
      <c r="D59" t="inlineStr">
        <is>
          <t>m0-arm2-D3</t>
        </is>
      </c>
      <c r="E59" t="n">
        <v>459</v>
      </c>
      <c r="F59" t="n">
        <v>180018</v>
      </c>
      <c r="G59" t="inlineStr">
        <is>
          <t>-</t>
        </is>
      </c>
    </row>
    <row r="60">
      <c r="A60" t="inlineStr">
        <is>
          <t>D3</t>
        </is>
      </c>
      <c r="B60" t="inlineStr">
        <is>
          <t>B</t>
        </is>
      </c>
      <c r="C60" t="inlineStr">
        <is>
          <t>arm1</t>
        </is>
      </c>
      <c r="D60" t="inlineStr">
        <is>
          <t>m0-arm1-D3</t>
        </is>
      </c>
      <c r="E60" t="n">
        <v>554</v>
      </c>
      <c r="F60" t="n">
        <v>172613</v>
      </c>
      <c r="G60" t="inlineStr">
        <is>
          <t>-</t>
        </is>
      </c>
    </row>
    <row r="61">
      <c r="A61" t="inlineStr">
        <is>
          <t>D3</t>
        </is>
      </c>
      <c r="B61" t="inlineStr">
        <is>
          <t>C</t>
        </is>
      </c>
      <c r="C61" t="inlineStr">
        <is>
          <t>arm3</t>
        </is>
      </c>
      <c r="D61" t="inlineStr">
        <is>
          <t>m0-arm3-D3</t>
        </is>
      </c>
      <c r="E61" t="n">
        <v>246</v>
      </c>
      <c r="F61" t="n">
        <v>193477</v>
      </c>
      <c r="G61" t="inlineStr">
        <is>
          <t>-</t>
        </is>
      </c>
    </row>
    <row r="62">
      <c r="A62" t="inlineStr">
        <is>
          <t>D4</t>
        </is>
      </c>
      <c r="B62" t="inlineStr">
        <is>
          <t>A</t>
        </is>
      </c>
      <c r="C62" t="inlineStr">
        <is>
          <t>arm1</t>
        </is>
      </c>
      <c r="D62" t="inlineStr">
        <is>
          <t>m0-arm1-D4</t>
        </is>
      </c>
      <c r="E62" t="n">
        <v>498</v>
      </c>
      <c r="F62" t="n">
        <v>100289</v>
      </c>
      <c r="G62" t="inlineStr">
        <is>
          <t>-</t>
        </is>
      </c>
    </row>
    <row r="63">
      <c r="A63" t="inlineStr">
        <is>
          <t>D4</t>
        </is>
      </c>
      <c r="B63" t="inlineStr">
        <is>
          <t>B</t>
        </is>
      </c>
      <c r="C63" t="inlineStr">
        <is>
          <t>arm2</t>
        </is>
      </c>
      <c r="D63" t="inlineStr">
        <is>
          <t>m0-arm2-D4</t>
        </is>
      </c>
      <c r="E63" t="n">
        <v>560</v>
      </c>
      <c r="F63" t="n">
        <v>100289</v>
      </c>
      <c r="G63" t="inlineStr">
        <is>
          <t>-</t>
        </is>
      </c>
    </row>
    <row r="64">
      <c r="A64" t="inlineStr">
        <is>
          <t>D4</t>
        </is>
      </c>
      <c r="B64" t="inlineStr">
        <is>
          <t>C</t>
        </is>
      </c>
      <c r="C64" t="inlineStr">
        <is>
          <t>arm3</t>
        </is>
      </c>
      <c r="D64" t="inlineStr">
        <is>
          <t>m0-arm3-D4</t>
        </is>
      </c>
      <c r="E64" t="n">
        <v>481</v>
      </c>
      <c r="F64" t="n">
        <v>100293</v>
      </c>
      <c r="G6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0" customWidth="1" min="1" max="1"/>
    <col width="96" customWidth="1" min="2" max="2"/>
  </cols>
  <sheetData>
    <row r="1">
      <c r="A1" t="inlineStr">
        <is>
          <t>判定档</t>
        </is>
      </c>
      <c r="B1" t="inlineStr">
        <is>
          <t>含义</t>
        </is>
      </c>
    </row>
    <row r="2">
      <c r="A2" t="inlineStr">
        <is>
          <t>对</t>
        </is>
      </c>
      <c r="B2" t="inlineStr">
        <is>
          <t>答出了判定要点里的全部关键项（数值/条款号/出处/承接关系）</t>
        </is>
      </c>
    </row>
    <row r="3">
      <c r="A3" t="inlineStr">
        <is>
          <t>部分对</t>
        </is>
      </c>
      <c r="B3" t="inlineStr">
        <is>
          <t>关键项缺一（如只给规范名不给条款号、只给方向不给数值）</t>
        </is>
      </c>
    </row>
    <row r="4">
      <c r="A4" t="inlineStr">
        <is>
          <t>错</t>
        </is>
      </c>
      <c r="B4" t="inlineStr">
        <is>
          <t>结论错误、或与上一轮给出的前提矛盾、或答非所问</t>
        </is>
      </c>
    </row>
    <row r="5">
      <c r="A5" t="inlineStr">
        <is>
          <t>废</t>
        </is>
      </c>
      <c r="B5" t="inlineStr">
        <is>
          <t>题面歧义导致无法判定（如 A1 的「刚才」指代不明）——作废题不计入分母</t>
        </is>
      </c>
    </row>
    <row r="6">
      <c r="A6" t="inlineStr"/>
      <c r="B6" t="inlineStr"/>
    </row>
    <row r="7">
      <c r="A7" t="inlineStr">
        <is>
          <t>盲序</t>
        </is>
      </c>
      <c r="B7" t="inlineStr">
        <is>
          <t>每题 A/B/C 由固定种子 20261005 洗牌；本表不出现臂名，判完再看「密钥」表</t>
        </is>
      </c>
    </row>
    <row r="8">
      <c r="A8" t="inlineStr">
        <is>
          <t>对照题</t>
        </is>
      </c>
      <c r="B8" t="inlineStr">
        <is>
          <t>C6/D4 预期三臂等价：若三份答案判分不同，属干扰信号，需单独记录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2026-10-05T05:12:04Z</dcterms:created>
  <dcterms:modified xmlns:dcterms="http://purl.org/dc/terms/" xmlns:xsi="http://www.w3.org/2001/XMLSchema-instance" xsi:type="dcterms:W3CDTF">2026-10-05T05:12:04Z</dcterms:modified>
</cp:coreProperties>
</file>